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yF Contratistas\Desktop\ATU INTELIGENCIA ARTIFICIAL\EJEMPLOS PROFE\"/>
    </mc:Choice>
  </mc:AlternateContent>
  <bookViews>
    <workbookView xWindow="0" yWindow="0" windowWidth="20490" windowHeight="6930" firstSheet="1" activeTab="1"/>
  </bookViews>
  <sheets>
    <sheet name="Respuestas de formulario 1" sheetId="1" r:id="rId1"/>
    <sheet name="Hoja1" sheetId="2" r:id="rId2"/>
  </sheets>
  <calcPr calcId="162913"/>
</workbook>
</file>

<file path=xl/calcChain.xml><?xml version="1.0" encoding="utf-8"?>
<calcChain xmlns="http://schemas.openxmlformats.org/spreadsheetml/2006/main">
  <c r="L18" i="2" l="1"/>
  <c r="M18" i="2"/>
  <c r="N18" i="2"/>
  <c r="O18" i="2"/>
  <c r="L17" i="2"/>
  <c r="M17" i="2"/>
  <c r="N17" i="2"/>
  <c r="O17" i="2"/>
  <c r="L15" i="2"/>
  <c r="M15" i="2"/>
  <c r="N15" i="2"/>
  <c r="O15" i="2"/>
  <c r="L14" i="2"/>
  <c r="M14" i="2"/>
  <c r="N14" i="2"/>
  <c r="O14" i="2"/>
  <c r="L13" i="2"/>
  <c r="M13" i="2"/>
  <c r="N13" i="2"/>
  <c r="O13" i="2"/>
  <c r="C17" i="2"/>
  <c r="D17" i="2"/>
  <c r="E17" i="2"/>
  <c r="F17" i="2"/>
  <c r="G17" i="2"/>
  <c r="H17" i="2"/>
  <c r="I17" i="2"/>
  <c r="J17" i="2"/>
  <c r="C15" i="2" l="1"/>
  <c r="D15" i="2"/>
  <c r="E15" i="2"/>
  <c r="F15" i="2"/>
  <c r="G15" i="2"/>
  <c r="H15" i="2"/>
  <c r="I15" i="2"/>
  <c r="J15" i="2"/>
  <c r="E52" i="2"/>
  <c r="E14" i="2"/>
  <c r="F14" i="2"/>
  <c r="G14" i="2"/>
  <c r="H14" i="2"/>
  <c r="I14" i="2"/>
  <c r="J14" i="2"/>
  <c r="C14" i="2"/>
  <c r="D14" i="2"/>
  <c r="B14" i="2"/>
  <c r="B15" i="2" s="1"/>
  <c r="C13" i="2"/>
  <c r="D13" i="2"/>
  <c r="E13" i="2"/>
  <c r="F13" i="2"/>
  <c r="G13" i="2"/>
  <c r="H13" i="2"/>
  <c r="I13" i="2"/>
  <c r="J13" i="2"/>
  <c r="B13" i="2"/>
  <c r="C18" i="2"/>
  <c r="D18" i="2"/>
  <c r="E18" i="2"/>
  <c r="F18" i="2"/>
  <c r="G18" i="2"/>
  <c r="H18" i="2"/>
  <c r="I18" i="2"/>
  <c r="J18" i="2"/>
  <c r="B18" i="2"/>
  <c r="B17" i="2"/>
  <c r="A4" i="2"/>
  <c r="A5" i="2" s="1"/>
  <c r="A6" i="2" s="1"/>
  <c r="A7" i="2" s="1"/>
  <c r="A8" i="2" s="1"/>
  <c r="A9" i="2" s="1"/>
  <c r="A10" i="2" s="1"/>
  <c r="A11" i="2" s="1"/>
  <c r="A12" i="2" s="1"/>
  <c r="C7" i="2"/>
  <c r="D7" i="2"/>
  <c r="E7" i="2"/>
  <c r="F7" i="2"/>
  <c r="G7" i="2"/>
  <c r="H7" i="2"/>
  <c r="I7" i="2"/>
  <c r="J7" i="2"/>
  <c r="B7" i="2"/>
  <c r="D52" i="2"/>
  <c r="J25" i="2" s="1"/>
  <c r="I26" i="2" s="1"/>
  <c r="J26" i="2" s="1"/>
  <c r="O3" i="2"/>
  <c r="O4" i="2"/>
  <c r="O5" i="2"/>
  <c r="O6" i="2"/>
  <c r="O8" i="2"/>
  <c r="O9" i="2"/>
  <c r="O10" i="2"/>
  <c r="O11" i="2"/>
  <c r="O12" i="2"/>
  <c r="O2" i="2"/>
  <c r="N3" i="2"/>
  <c r="N4" i="2"/>
  <c r="N5" i="2"/>
  <c r="N6" i="2"/>
  <c r="N8" i="2"/>
  <c r="N9" i="2"/>
  <c r="N10" i="2"/>
  <c r="N11" i="2"/>
  <c r="N12" i="2"/>
  <c r="N2" i="2"/>
  <c r="M3" i="2"/>
  <c r="M4" i="2"/>
  <c r="M5" i="2"/>
  <c r="M6" i="2"/>
  <c r="M8" i="2"/>
  <c r="M9" i="2"/>
  <c r="M10" i="2"/>
  <c r="M11" i="2"/>
  <c r="M12" i="2"/>
  <c r="M2" i="2"/>
  <c r="L5" i="2"/>
  <c r="L6" i="2"/>
  <c r="L8" i="2"/>
  <c r="L9" i="2"/>
  <c r="L10" i="2"/>
  <c r="L11" i="2"/>
  <c r="L12" i="2"/>
  <c r="L4" i="2"/>
  <c r="L3" i="2"/>
  <c r="L2" i="2"/>
  <c r="N7" i="2" l="1"/>
  <c r="M7" i="2"/>
  <c r="O7" i="2"/>
  <c r="L7" i="2"/>
  <c r="I27" i="2"/>
  <c r="J27" i="2" l="1"/>
  <c r="I28" i="2" s="1"/>
  <c r="J28" i="2" s="1"/>
  <c r="I29" i="2" s="1"/>
  <c r="J29" i="2" s="1"/>
  <c r="O25" i="2" l="1" a="1"/>
  <c r="K25" i="2" a="1"/>
  <c r="M25" i="2" a="1"/>
  <c r="Q25" i="2" a="1"/>
  <c r="M25" i="2" l="1"/>
  <c r="M29" i="2"/>
  <c r="M28" i="2"/>
  <c r="M27" i="2"/>
  <c r="M26" i="2"/>
  <c r="K25" i="2"/>
  <c r="K29" i="2"/>
  <c r="K27" i="2"/>
  <c r="K28" i="2"/>
  <c r="K26" i="2"/>
  <c r="Q25" i="2"/>
  <c r="Q26" i="2"/>
  <c r="Q29" i="2"/>
  <c r="Q28" i="2"/>
  <c r="Q27" i="2"/>
  <c r="O25" i="2"/>
  <c r="O29" i="2"/>
  <c r="O28" i="2"/>
  <c r="O27" i="2"/>
  <c r="O26" i="2"/>
  <c r="Q30" i="2" l="1"/>
  <c r="R26" i="2" s="1"/>
  <c r="O30" i="2"/>
  <c r="P25" i="2" s="1"/>
  <c r="M30" i="2"/>
  <c r="N27" i="2" s="1"/>
  <c r="N26" i="2" l="1"/>
  <c r="R29" i="2"/>
  <c r="R28" i="2"/>
  <c r="R25" i="2"/>
  <c r="N29" i="2"/>
  <c r="R27" i="2"/>
  <c r="N25" i="2"/>
  <c r="P29" i="2"/>
  <c r="N28" i="2"/>
  <c r="P26" i="2"/>
  <c r="P27" i="2"/>
  <c r="P28" i="2"/>
  <c r="R30" i="2" l="1"/>
  <c r="N30" i="2"/>
  <c r="P30" i="2"/>
  <c r="K30" i="2" l="1"/>
  <c r="L26" i="2" s="1"/>
  <c r="L28" i="2" l="1"/>
  <c r="L29" i="2"/>
  <c r="L25" i="2"/>
  <c r="L27" i="2"/>
  <c r="L30" i="2" l="1"/>
</calcChain>
</file>

<file path=xl/sharedStrings.xml><?xml version="1.0" encoding="utf-8"?>
<sst xmlns="http://schemas.openxmlformats.org/spreadsheetml/2006/main" count="79" uniqueCount="64">
  <si>
    <t>Dirección de correo electrónico</t>
  </si>
  <si>
    <t>1 . Como considera la información</t>
  </si>
  <si>
    <t>2 . Como considera la acogida al cliente</t>
  </si>
  <si>
    <t>3 . Como considera el apoyo en la búsqueda de alternativas</t>
  </si>
  <si>
    <t xml:space="preserve">4 . Como considera la presentación </t>
  </si>
  <si>
    <t>5 . Como considera la calidad del producto</t>
  </si>
  <si>
    <t>6 . Como considera los precios</t>
  </si>
  <si>
    <t xml:space="preserve">7 . Como considera la facilidad de la localización </t>
  </si>
  <si>
    <t>8 . Como considera la organización</t>
  </si>
  <si>
    <t>9 . Como considera la higiene</t>
  </si>
  <si>
    <t>bernabelillo@gmail.com</t>
  </si>
  <si>
    <t>antonioperete3@gmail.com</t>
  </si>
  <si>
    <t>mayra2025iaes@gmail.com</t>
  </si>
  <si>
    <t>o@gmai.cu</t>
  </si>
  <si>
    <t>ALUMNOOSCARVILLAR@GMAIL.IT</t>
  </si>
  <si>
    <t>Williamgarciacursoia@gmail.com</t>
  </si>
  <si>
    <t>SELECCION@GMAIL.COM</t>
  </si>
  <si>
    <t>freddyse@gmail.com</t>
  </si>
  <si>
    <t>veraadanny711@gmail.com</t>
  </si>
  <si>
    <t>sajuly516@gmail.com</t>
  </si>
  <si>
    <t>cursoia@gmail.com</t>
  </si>
  <si>
    <t>PROM 1</t>
  </si>
  <si>
    <t>PROM 2</t>
  </si>
  <si>
    <t>PROM3</t>
  </si>
  <si>
    <t>GENERAL</t>
  </si>
  <si>
    <t>objetivo</t>
  </si>
  <si>
    <t>calidad</t>
  </si>
  <si>
    <t>atencion</t>
  </si>
  <si>
    <t>producto</t>
  </si>
  <si>
    <t>instalacion</t>
  </si>
  <si>
    <t>escala likert</t>
  </si>
  <si>
    <t>1 al 5</t>
  </si>
  <si>
    <t>mm</t>
  </si>
  <si>
    <t>mal</t>
  </si>
  <si>
    <t>regular</t>
  </si>
  <si>
    <t>bien</t>
  </si>
  <si>
    <t>exelente</t>
  </si>
  <si>
    <t>ESPACIOS</t>
  </si>
  <si>
    <t>NIVELES</t>
  </si>
  <si>
    <t>li</t>
  </si>
  <si>
    <t>ls</t>
  </si>
  <si>
    <t>fa</t>
  </si>
  <si>
    <t>fr</t>
  </si>
  <si>
    <t>promedio 1</t>
  </si>
  <si>
    <t>promedio 2</t>
  </si>
  <si>
    <t>promedio 3</t>
  </si>
  <si>
    <t>general</t>
  </si>
  <si>
    <t>ESCALA</t>
  </si>
  <si>
    <t>No.</t>
  </si>
  <si>
    <t>PROMEDIO</t>
  </si>
  <si>
    <t>MEDIANA</t>
  </si>
  <si>
    <t>AMPLITUD</t>
  </si>
  <si>
    <t>SUMA</t>
  </si>
  <si>
    <t>MAX</t>
  </si>
  <si>
    <t>PORCIENTO</t>
  </si>
  <si>
    <t>PUNTO DE CORTE</t>
  </si>
  <si>
    <t>cualitativo</t>
  </si>
  <si>
    <t>niveles -1</t>
  </si>
  <si>
    <t>7,8,9</t>
  </si>
  <si>
    <t>4,5,6</t>
  </si>
  <si>
    <t>1,2,3</t>
  </si>
  <si>
    <t>muy mal</t>
  </si>
  <si>
    <t>preguntas</t>
  </si>
  <si>
    <t>es el dato critico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</si>
</sst>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FFFF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name val="Arial"/>
      <family val="2"/>
      <scheme val="minor"/>
    </font>
    <font>
      <b/>
      <sz val="12"/>
      <color rgb="FFFF0000"/>
      <name val="Arial"/>
      <family val="2"/>
      <scheme val="minor"/>
    </font>
    <font>
      <sz val="18"/>
      <color rgb="FFFFFF00"/>
      <name val="Arial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6" tint="0.59999389629810485"/>
        <bgColor rgb="FFF8F9FA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rgb="FFF8F9FA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9" tint="0.59999389629810485"/>
        <bgColor rgb="FFF8F9FA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8" tint="0.79998168889431442"/>
        <bgColor rgb="FFF8F9FA"/>
      </patternFill>
    </fill>
    <fill>
      <patternFill patternType="solid">
        <fgColor rgb="FFFF00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0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6" fillId="7" borderId="0" xfId="0" applyFont="1" applyFill="1" applyBorder="1" applyAlignment="1"/>
    <xf numFmtId="0" fontId="6" fillId="8" borderId="0" xfId="0" applyFont="1" applyFill="1" applyAlignment="1"/>
    <xf numFmtId="0" fontId="0" fillId="0" borderId="1" xfId="0" applyFont="1" applyBorder="1" applyAlignment="1"/>
    <xf numFmtId="0" fontId="0" fillId="0" borderId="1" xfId="0" applyFont="1" applyBorder="1" applyAlignment="1">
      <alignment horizontal="center"/>
    </xf>
    <xf numFmtId="0" fontId="4" fillId="2" borderId="1" xfId="0" applyFont="1" applyFill="1" applyBorder="1" applyAlignment="1"/>
    <xf numFmtId="0" fontId="6" fillId="13" borderId="0" xfId="0" applyFont="1" applyFill="1" applyAlignment="1"/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2" fillId="9" borderId="0" xfId="0" applyFont="1" applyFill="1" applyAlignment="1"/>
    <xf numFmtId="2" fontId="2" fillId="9" borderId="1" xfId="0" applyNumberFormat="1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12" borderId="16" xfId="0" applyFont="1" applyFill="1" applyBorder="1" applyAlignment="1">
      <alignment horizontal="center"/>
    </xf>
    <xf numFmtId="0" fontId="7" fillId="10" borderId="17" xfId="0" applyFont="1" applyFill="1" applyBorder="1" applyAlignment="1">
      <alignment horizontal="center"/>
    </xf>
    <xf numFmtId="0" fontId="4" fillId="12" borderId="17" xfId="0" applyFont="1" applyFill="1" applyBorder="1" applyAlignment="1">
      <alignment horizontal="center"/>
    </xf>
    <xf numFmtId="0" fontId="4" fillId="11" borderId="16" xfId="0" applyFont="1" applyFill="1" applyBorder="1" applyAlignment="1">
      <alignment horizontal="center"/>
    </xf>
    <xf numFmtId="0" fontId="4" fillId="11" borderId="17" xfId="0" applyFont="1" applyFill="1" applyBorder="1" applyAlignment="1">
      <alignment horizontal="center"/>
    </xf>
    <xf numFmtId="0" fontId="7" fillId="10" borderId="16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9" fontId="0" fillId="0" borderId="13" xfId="1" applyFont="1" applyBorder="1" applyAlignment="1"/>
    <xf numFmtId="9" fontId="0" fillId="0" borderId="13" xfId="1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9" fontId="0" fillId="0" borderId="0" xfId="0" applyNumberFormat="1" applyFont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5" fillId="14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0" fillId="17" borderId="1" xfId="0" applyFont="1" applyFill="1" applyBorder="1" applyAlignment="1"/>
    <xf numFmtId="0" fontId="0" fillId="18" borderId="1" xfId="0" applyFont="1" applyFill="1" applyBorder="1" applyAlignment="1"/>
    <xf numFmtId="0" fontId="0" fillId="19" borderId="1" xfId="0" applyFont="1" applyFill="1" applyBorder="1" applyAlignment="1"/>
    <xf numFmtId="0" fontId="0" fillId="20" borderId="1" xfId="0" applyFont="1" applyFill="1" applyBorder="1" applyAlignment="1"/>
    <xf numFmtId="0" fontId="0" fillId="21" borderId="1" xfId="0" applyFont="1" applyFill="1" applyBorder="1" applyAlignment="1"/>
    <xf numFmtId="0" fontId="5" fillId="22" borderId="1" xfId="0" applyFont="1" applyFill="1" applyBorder="1" applyAlignment="1">
      <alignment horizontal="center" vertical="center"/>
    </xf>
    <xf numFmtId="0" fontId="5" fillId="22" borderId="9" xfId="0" applyFont="1" applyFill="1" applyBorder="1" applyAlignment="1">
      <alignment horizontal="center" vertical="center"/>
    </xf>
    <xf numFmtId="0" fontId="6" fillId="0" borderId="13" xfId="0" applyFont="1" applyBorder="1" applyAlignment="1"/>
    <xf numFmtId="0" fontId="5" fillId="14" borderId="22" xfId="0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0" fillId="0" borderId="0" xfId="0" applyFont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5" fillId="14" borderId="25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/>
    </xf>
    <xf numFmtId="9" fontId="5" fillId="0" borderId="11" xfId="1" applyFont="1" applyFill="1" applyBorder="1" applyAlignment="1">
      <alignment horizontal="center" vertical="center"/>
    </xf>
    <xf numFmtId="9" fontId="4" fillId="16" borderId="1" xfId="1" applyFont="1" applyFill="1" applyBorder="1" applyAlignment="1">
      <alignment horizontal="center"/>
    </xf>
    <xf numFmtId="2" fontId="0" fillId="0" borderId="1" xfId="0" applyNumberFormat="1" applyFont="1" applyBorder="1" applyAlignment="1"/>
    <xf numFmtId="0" fontId="0" fillId="23" borderId="0" xfId="0" applyFont="1" applyFill="1" applyAlignment="1"/>
    <xf numFmtId="0" fontId="0" fillId="20" borderId="0" xfId="0" applyFont="1" applyFill="1" applyAlignment="1"/>
    <xf numFmtId="0" fontId="4" fillId="24" borderId="1" xfId="0" applyFont="1" applyFill="1" applyBorder="1" applyAlignment="1">
      <alignment horizontal="center"/>
    </xf>
    <xf numFmtId="165" fontId="0" fillId="0" borderId="0" xfId="0" applyNumberFormat="1" applyFont="1" applyAlignment="1"/>
    <xf numFmtId="0" fontId="4" fillId="2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2" fontId="5" fillId="0" borderId="7" xfId="0" applyNumberFormat="1" applyFont="1" applyFill="1" applyBorder="1" applyAlignment="1">
      <alignment horizontal="center" vertical="center"/>
    </xf>
    <xf numFmtId="2" fontId="5" fillId="0" borderId="23" xfId="0" applyNumberFormat="1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9" fontId="5" fillId="0" borderId="10" xfId="1" applyFont="1" applyFill="1" applyBorder="1" applyAlignment="1">
      <alignment horizontal="center" vertical="center"/>
    </xf>
    <xf numFmtId="9" fontId="5" fillId="0" borderId="28" xfId="1" applyFont="1" applyFill="1" applyBorder="1" applyAlignment="1">
      <alignment horizontal="center" vertical="center"/>
    </xf>
    <xf numFmtId="0" fontId="5" fillId="17" borderId="3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0" fillId="0" borderId="31" xfId="0" applyFont="1" applyBorder="1" applyAlignment="1"/>
    <xf numFmtId="0" fontId="4" fillId="11" borderId="14" xfId="0" applyFont="1" applyFill="1" applyBorder="1" applyAlignment="1">
      <alignment horizontal="center"/>
    </xf>
    <xf numFmtId="0" fontId="4" fillId="11" borderId="15" xfId="0" applyFont="1" applyFill="1" applyBorder="1" applyAlignment="1">
      <alignment horizontal="center"/>
    </xf>
    <xf numFmtId="0" fontId="7" fillId="10" borderId="14" xfId="0" applyFont="1" applyFill="1" applyBorder="1" applyAlignment="1">
      <alignment horizontal="center"/>
    </xf>
    <xf numFmtId="0" fontId="7" fillId="10" borderId="15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 wrapText="1"/>
    </xf>
    <xf numFmtId="0" fontId="4" fillId="10" borderId="25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9" fillId="9" borderId="25" xfId="0" applyFont="1" applyFill="1" applyBorder="1" applyAlignment="1">
      <alignment horizontal="center" vertical="center" wrapText="1"/>
    </xf>
    <xf numFmtId="0" fontId="9" fillId="9" borderId="18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4" fillId="12" borderId="14" xfId="0" applyFont="1" applyFill="1" applyBorder="1" applyAlignment="1">
      <alignment horizontal="center"/>
    </xf>
    <xf numFmtId="0" fontId="4" fillId="12" borderId="15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8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strike val="0"/>
        <outline val="0"/>
        <shadow val="0"/>
        <u val="none"/>
        <vertAlign val="baseline"/>
        <sz val="10"/>
        <color rgb="FFFFFF00"/>
        <name val="Arial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</tableStyles>
  <colors>
    <mruColors>
      <color rgb="FFFF3399"/>
      <color rgb="FFFF33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u="sng"/>
              <a:t>FR GENERAL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Hoja1!$R$24</c:f>
              <c:strCache>
                <c:ptCount val="1"/>
                <c:pt idx="0">
                  <c:v>fr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Hoja1!$H$25:$H$29</c:f>
              <c:strCache>
                <c:ptCount val="5"/>
                <c:pt idx="0">
                  <c:v>mm</c:v>
                </c:pt>
                <c:pt idx="1">
                  <c:v>mal</c:v>
                </c:pt>
                <c:pt idx="2">
                  <c:v>regular</c:v>
                </c:pt>
                <c:pt idx="3">
                  <c:v>bien</c:v>
                </c:pt>
                <c:pt idx="4">
                  <c:v>exelente</c:v>
                </c:pt>
              </c:strCache>
            </c:strRef>
          </c:cat>
          <c:val>
            <c:numRef>
              <c:f>Hoja1!$R$25:$R$29</c:f>
              <c:numCache>
                <c:formatCode>0%</c:formatCode>
                <c:ptCount val="5"/>
                <c:pt idx="0">
                  <c:v>0</c:v>
                </c:pt>
                <c:pt idx="1">
                  <c:v>9.0909090909090912E-2</c:v>
                </c:pt>
                <c:pt idx="2">
                  <c:v>0.18181818181818182</c:v>
                </c:pt>
                <c:pt idx="3">
                  <c:v>0.54545454545454541</c:v>
                </c:pt>
                <c:pt idx="4">
                  <c:v>0.18181818181818182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D-4D3E-BC1C-4A18A26016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26504072"/>
        <c:axId val="426500464"/>
        <c:axId val="0"/>
      </c:bar3DChart>
      <c:catAx>
        <c:axId val="426504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ESCALA LIKERT</a:t>
                </a:r>
              </a:p>
            </c:rich>
          </c:tx>
          <c:layout>
            <c:manualLayout>
              <c:xMode val="edge"/>
              <c:yMode val="edge"/>
              <c:x val="0.42721983281501574"/>
              <c:y val="0.870976961213181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00464"/>
        <c:crosses val="autoZero"/>
        <c:auto val="1"/>
        <c:lblAlgn val="ctr"/>
        <c:lblOffset val="100"/>
        <c:noMultiLvlLbl val="0"/>
      </c:catAx>
      <c:valAx>
        <c:axId val="42650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PORCENTAJE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040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2">
            <a:lumMod val="60000"/>
            <a:lumOff val="4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476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u="sng"/>
              <a:t>COMPARACION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(Hoja1!$L$24,Hoja1!$N$24,Hoja1!$P$24)</c:f>
              <c:strCache>
                <c:ptCount val="3"/>
                <c:pt idx="0">
                  <c:v>fr</c:v>
                </c:pt>
                <c:pt idx="1">
                  <c:v>fr</c:v>
                </c:pt>
                <c:pt idx="2">
                  <c:v>fr</c:v>
                </c:pt>
              </c:strCache>
            </c:strRef>
          </c:cat>
          <c:val>
            <c:numRef>
              <c:f>(Hoja1!$L$25,Hoja1!$N$25,Hoja1!$P$25)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AD-44B3-9D76-735700D342F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(Hoja1!$L$24,Hoja1!$N$24,Hoja1!$P$24)</c:f>
              <c:strCache>
                <c:ptCount val="3"/>
                <c:pt idx="0">
                  <c:v>fr</c:v>
                </c:pt>
                <c:pt idx="1">
                  <c:v>fr</c:v>
                </c:pt>
                <c:pt idx="2">
                  <c:v>fr</c:v>
                </c:pt>
              </c:strCache>
            </c:strRef>
          </c:cat>
          <c:val>
            <c:numRef>
              <c:f>(Hoja1!$L$26,Hoja1!$N$26,Hoja1!$P$26)</c:f>
              <c:numCache>
                <c:formatCode>0%</c:formatCode>
                <c:ptCount val="3"/>
                <c:pt idx="0">
                  <c:v>9.0909090909090912E-2</c:v>
                </c:pt>
                <c:pt idx="1">
                  <c:v>0.18181818181818182</c:v>
                </c:pt>
                <c:pt idx="2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AD-44B3-9D76-735700D342F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(Hoja1!$L$24,Hoja1!$N$24,Hoja1!$P$24)</c:f>
              <c:strCache>
                <c:ptCount val="3"/>
                <c:pt idx="0">
                  <c:v>fr</c:v>
                </c:pt>
                <c:pt idx="1">
                  <c:v>fr</c:v>
                </c:pt>
                <c:pt idx="2">
                  <c:v>fr</c:v>
                </c:pt>
              </c:strCache>
            </c:strRef>
          </c:cat>
          <c:val>
            <c:numRef>
              <c:f>(Hoja1!$L$27,Hoja1!$N$27,Hoja1!$P$27)</c:f>
              <c:numCache>
                <c:formatCode>0%</c:formatCode>
                <c:ptCount val="3"/>
                <c:pt idx="0">
                  <c:v>0.18181818181818182</c:v>
                </c:pt>
                <c:pt idx="1">
                  <c:v>0.18181818181818182</c:v>
                </c:pt>
                <c:pt idx="2">
                  <c:v>0.18181818181818182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AD-44B3-9D76-735700D342F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(Hoja1!$L$24,Hoja1!$N$24,Hoja1!$P$24)</c:f>
              <c:strCache>
                <c:ptCount val="3"/>
                <c:pt idx="0">
                  <c:v>fr</c:v>
                </c:pt>
                <c:pt idx="1">
                  <c:v>fr</c:v>
                </c:pt>
                <c:pt idx="2">
                  <c:v>fr</c:v>
                </c:pt>
              </c:strCache>
            </c:strRef>
          </c:cat>
          <c:val>
            <c:numRef>
              <c:f>(Hoja1!$L$28,Hoja1!$N$28,Hoja1!$P$28)</c:f>
              <c:numCache>
                <c:formatCode>0%</c:formatCode>
                <c:ptCount val="3"/>
                <c:pt idx="0">
                  <c:v>0.45454545454545453</c:v>
                </c:pt>
                <c:pt idx="1">
                  <c:v>0.36363636363636365</c:v>
                </c:pt>
                <c:pt idx="2">
                  <c:v>0.18181818181818182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AD-44B3-9D76-735700D342FB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(Hoja1!$L$24,Hoja1!$N$24,Hoja1!$P$24)</c:f>
              <c:strCache>
                <c:ptCount val="3"/>
                <c:pt idx="0">
                  <c:v>fr</c:v>
                </c:pt>
                <c:pt idx="1">
                  <c:v>fr</c:v>
                </c:pt>
                <c:pt idx="2">
                  <c:v>fr</c:v>
                </c:pt>
              </c:strCache>
            </c:strRef>
          </c:cat>
          <c:val>
            <c:numRef>
              <c:f>(Hoja1!$L$29,Hoja1!$N$29,Hoja1!$P$29)</c:f>
              <c:numCache>
                <c:formatCode>0%</c:formatCode>
                <c:ptCount val="3"/>
                <c:pt idx="0">
                  <c:v>0.27272727272727271</c:v>
                </c:pt>
                <c:pt idx="1">
                  <c:v>0.27272727272727271</c:v>
                </c:pt>
                <c:pt idx="2">
                  <c:v>0.45454545454545453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AD-44B3-9D76-735700D342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21642528"/>
        <c:axId val="421636952"/>
        <c:axId val="0"/>
      </c:bar3DChart>
      <c:catAx>
        <c:axId val="421642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FR     PROMEDIOS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636952"/>
        <c:crosses val="autoZero"/>
        <c:auto val="1"/>
        <c:lblAlgn val="ctr"/>
        <c:lblOffset val="100"/>
        <c:noMultiLvlLbl val="0"/>
      </c:catAx>
      <c:valAx>
        <c:axId val="421636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PORCENTAJE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6425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15875" cap="flat" cmpd="sng" algn="ctr">
            <a:solidFill>
              <a:srgbClr val="FF0000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accent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2">
            <a:lumMod val="60000"/>
            <a:lumOff val="4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476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31</xdr:row>
      <xdr:rowOff>0</xdr:rowOff>
    </xdr:from>
    <xdr:to>
      <xdr:col>17</xdr:col>
      <xdr:colOff>742950</xdr:colOff>
      <xdr:row>47</xdr:row>
      <xdr:rowOff>152400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752475</xdr:colOff>
      <xdr:row>48</xdr:row>
      <xdr:rowOff>104774</xdr:rowOff>
    </xdr:from>
    <xdr:to>
      <xdr:col>17</xdr:col>
      <xdr:colOff>723900</xdr:colOff>
      <xdr:row>81</xdr:row>
      <xdr:rowOff>95250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304800</xdr:colOff>
      <xdr:row>33</xdr:row>
      <xdr:rowOff>142875</xdr:rowOff>
    </xdr:from>
    <xdr:to>
      <xdr:col>13</xdr:col>
      <xdr:colOff>304800</xdr:colOff>
      <xdr:row>43</xdr:row>
      <xdr:rowOff>114300</xdr:rowOff>
    </xdr:to>
    <xdr:cxnSp macro="">
      <xdr:nvCxnSpPr>
        <xdr:cNvPr id="5" name="Conector recto 4"/>
        <xdr:cNvCxnSpPr/>
      </xdr:nvCxnSpPr>
      <xdr:spPr>
        <a:xfrm>
          <a:off x="8486775" y="4124325"/>
          <a:ext cx="0" cy="1590675"/>
        </a:xfrm>
        <a:prstGeom prst="line">
          <a:avLst/>
        </a:prstGeom>
        <a:ln w="3492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33</xdr:row>
      <xdr:rowOff>142875</xdr:rowOff>
    </xdr:from>
    <xdr:to>
      <xdr:col>17</xdr:col>
      <xdr:colOff>228600</xdr:colOff>
      <xdr:row>33</xdr:row>
      <xdr:rowOff>152400</xdr:rowOff>
    </xdr:to>
    <xdr:cxnSp macro="">
      <xdr:nvCxnSpPr>
        <xdr:cNvPr id="8" name="Conector recto 7"/>
        <xdr:cNvCxnSpPr/>
      </xdr:nvCxnSpPr>
      <xdr:spPr>
        <a:xfrm>
          <a:off x="5867400" y="4124325"/>
          <a:ext cx="5076825" cy="9525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333375</xdr:colOff>
      <xdr:row>31</xdr:row>
      <xdr:rowOff>133349</xdr:rowOff>
    </xdr:from>
    <xdr:to>
      <xdr:col>17</xdr:col>
      <xdr:colOff>133350</xdr:colOff>
      <xdr:row>33</xdr:row>
      <xdr:rowOff>47624</xdr:rowOff>
    </xdr:to>
    <xdr:sp macro="" textlink="">
      <xdr:nvSpPr>
        <xdr:cNvPr id="9" name="Rectángulo 8"/>
        <xdr:cNvSpPr/>
      </xdr:nvSpPr>
      <xdr:spPr>
        <a:xfrm>
          <a:off x="9020175" y="3790949"/>
          <a:ext cx="1828800" cy="2381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BIEN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0.11435</cdr:x>
      <cdr:y>0.04282</cdr:y>
    </cdr:from>
    <cdr:to>
      <cdr:x>0.38102</cdr:x>
      <cdr:y>0.12963</cdr:y>
    </cdr:to>
    <cdr:sp macro="" textlink="">
      <cdr:nvSpPr>
        <cdr:cNvPr id="2" name="Rectángulo 1"/>
        <cdr:cNvSpPr/>
      </cdr:nvSpPr>
      <cdr:spPr>
        <a:xfrm xmlns:a="http://schemas.openxmlformats.org/drawingml/2006/main">
          <a:off x="784225" y="117475"/>
          <a:ext cx="1828800" cy="238125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/>
            <a:t>MAL</a:t>
          </a:r>
        </a:p>
      </cdr:txBody>
    </cdr:sp>
  </cdr:relSizeAnchor>
</c:userShapes>
</file>

<file path=xl/tables/table1.xml><?xml version="1.0" encoding="utf-8"?>
<table xmlns="http://schemas.openxmlformats.org/spreadsheetml/2006/main" id="1" name="Form_Responses" displayName="Form_Responses" ref="A1:J12" headerRowDxfId="3">
  <tableColumns count="10">
    <tableColumn id="2" name="Dirección de correo electrónico"/>
    <tableColumn id="4" name="1 . Como considera la información"/>
    <tableColumn id="5" name="2 . Como considera la acogida al cliente"/>
    <tableColumn id="6" name="3 . Como considera el apoyo en la búsqueda de alternativas"/>
    <tableColumn id="7" name="4 . Como considera la presentación "/>
    <tableColumn id="8" name="5 . Como considera la calidad del producto"/>
    <tableColumn id="9" name="6 . Como considera los precios"/>
    <tableColumn id="10" name="7 . Como considera la facilidad de la localización "/>
    <tableColumn id="11" name="8 . Como considera la organización"/>
    <tableColumn id="12" name="9 . Como considera la higiene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Views>
    <sheetView topLeftCell="G1" zoomScale="87" zoomScaleNormal="87" workbookViewId="0">
      <pane ySplit="1" topLeftCell="A2" activePane="bottomLeft" state="frozen"/>
      <selection pane="bottomLeft" activeCell="B15" sqref="B15"/>
    </sheetView>
  </sheetViews>
  <sheetFormatPr baseColWidth="10" defaultColWidth="12.5703125" defaultRowHeight="15.75" customHeight="1" x14ac:dyDescent="0.2"/>
  <cols>
    <col min="1" max="1" width="31.85546875" bestFit="1" customWidth="1"/>
    <col min="2" max="2" width="29.5703125" bestFit="1" customWidth="1"/>
    <col min="3" max="3" width="34.7109375" bestFit="1" customWidth="1"/>
    <col min="4" max="4" width="37.5703125" customWidth="1"/>
    <col min="5" max="5" width="31.28515625" customWidth="1"/>
    <col min="6" max="6" width="36.140625" customWidth="1"/>
    <col min="7" max="7" width="27.5703125" customWidth="1"/>
    <col min="8" max="8" width="37.5703125" customWidth="1"/>
    <col min="9" max="9" width="30.7109375" customWidth="1"/>
    <col min="10" max="10" width="26.7109375" customWidth="1"/>
    <col min="11" max="16" width="18.85546875" customWidth="1"/>
  </cols>
  <sheetData>
    <row r="1" spans="1:10" s="4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">
      <c r="A2" s="1" t="s">
        <v>10</v>
      </c>
      <c r="B2" s="1">
        <v>3</v>
      </c>
      <c r="C2" s="1">
        <v>2</v>
      </c>
      <c r="D2" s="1">
        <v>4</v>
      </c>
      <c r="E2" s="1">
        <v>4</v>
      </c>
      <c r="F2" s="1">
        <v>2</v>
      </c>
      <c r="G2" s="1">
        <v>5</v>
      </c>
      <c r="H2" s="1">
        <v>3</v>
      </c>
      <c r="I2" s="1">
        <v>3</v>
      </c>
      <c r="J2" s="1">
        <v>4</v>
      </c>
    </row>
    <row r="3" spans="1:10" x14ac:dyDescent="0.2">
      <c r="A3" s="2" t="s">
        <v>11</v>
      </c>
      <c r="B3" s="2">
        <v>3</v>
      </c>
      <c r="C3" s="2">
        <v>5</v>
      </c>
      <c r="D3" s="2">
        <v>4</v>
      </c>
      <c r="E3" s="2">
        <v>4</v>
      </c>
      <c r="F3" s="2">
        <v>5</v>
      </c>
      <c r="G3" s="2">
        <v>2</v>
      </c>
      <c r="H3" s="2">
        <v>4</v>
      </c>
      <c r="I3" s="2">
        <v>5</v>
      </c>
      <c r="J3" s="2">
        <v>4</v>
      </c>
    </row>
    <row r="4" spans="1:10" x14ac:dyDescent="0.2">
      <c r="A4" s="2" t="s">
        <v>12</v>
      </c>
      <c r="B4" s="2">
        <v>4</v>
      </c>
      <c r="C4" s="2">
        <v>3</v>
      </c>
      <c r="D4" s="2">
        <v>4</v>
      </c>
      <c r="E4" s="2">
        <v>4</v>
      </c>
      <c r="F4" s="2">
        <v>3</v>
      </c>
      <c r="G4" s="2">
        <v>3</v>
      </c>
      <c r="H4" s="2">
        <v>5</v>
      </c>
      <c r="I4" s="2">
        <v>5</v>
      </c>
      <c r="J4" s="2">
        <v>5</v>
      </c>
    </row>
    <row r="5" spans="1:10" x14ac:dyDescent="0.2">
      <c r="A5" s="2" t="s">
        <v>13</v>
      </c>
      <c r="B5" s="2">
        <v>4</v>
      </c>
      <c r="C5" s="2">
        <v>4</v>
      </c>
      <c r="D5" s="2">
        <v>3</v>
      </c>
      <c r="E5" s="2">
        <v>3</v>
      </c>
      <c r="F5" s="2">
        <v>4</v>
      </c>
      <c r="G5" s="2">
        <v>4</v>
      </c>
      <c r="H5" s="2">
        <v>3</v>
      </c>
      <c r="I5" s="2">
        <v>4</v>
      </c>
      <c r="J5" s="2">
        <v>4</v>
      </c>
    </row>
    <row r="6" spans="1:10" x14ac:dyDescent="0.2">
      <c r="A6" s="2" t="s">
        <v>14</v>
      </c>
      <c r="B6" s="2">
        <v>5</v>
      </c>
      <c r="C6" s="2">
        <v>5</v>
      </c>
      <c r="D6" s="2">
        <v>1</v>
      </c>
      <c r="E6" s="2">
        <v>3</v>
      </c>
      <c r="F6" s="2">
        <v>2</v>
      </c>
      <c r="G6" s="2">
        <v>1</v>
      </c>
      <c r="H6" s="2">
        <v>1</v>
      </c>
      <c r="I6" s="2">
        <v>1</v>
      </c>
      <c r="J6" s="2">
        <v>3</v>
      </c>
    </row>
    <row r="7" spans="1:10" x14ac:dyDescent="0.2">
      <c r="A7" s="2" t="s">
        <v>15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</row>
    <row r="8" spans="1:10" x14ac:dyDescent="0.2">
      <c r="A8" s="2" t="s">
        <v>16</v>
      </c>
      <c r="B8" s="2">
        <v>4</v>
      </c>
      <c r="C8" s="2">
        <v>5</v>
      </c>
      <c r="D8" s="2">
        <v>5</v>
      </c>
      <c r="E8" s="2">
        <v>3</v>
      </c>
      <c r="F8" s="2">
        <v>4</v>
      </c>
      <c r="G8" s="2">
        <v>2</v>
      </c>
      <c r="H8" s="2">
        <v>1</v>
      </c>
      <c r="I8" s="2">
        <v>5</v>
      </c>
      <c r="J8" s="2">
        <v>4</v>
      </c>
    </row>
    <row r="9" spans="1:10" x14ac:dyDescent="0.2">
      <c r="A9" s="2" t="s">
        <v>17</v>
      </c>
      <c r="B9" s="2">
        <v>2</v>
      </c>
      <c r="C9" s="2">
        <v>3</v>
      </c>
      <c r="D9" s="2">
        <v>1</v>
      </c>
      <c r="E9" s="2">
        <v>4</v>
      </c>
      <c r="F9" s="2">
        <v>5</v>
      </c>
      <c r="G9" s="2">
        <v>4</v>
      </c>
      <c r="H9" s="2">
        <v>5</v>
      </c>
      <c r="I9" s="2">
        <v>4</v>
      </c>
      <c r="J9" s="2">
        <v>5</v>
      </c>
    </row>
    <row r="10" spans="1:10" x14ac:dyDescent="0.2">
      <c r="A10" s="2" t="s">
        <v>18</v>
      </c>
      <c r="B10" s="2">
        <v>3</v>
      </c>
      <c r="C10" s="2">
        <v>4</v>
      </c>
      <c r="D10" s="2">
        <v>3</v>
      </c>
      <c r="E10" s="2">
        <v>3</v>
      </c>
      <c r="F10" s="2">
        <v>4</v>
      </c>
      <c r="G10" s="2">
        <v>4</v>
      </c>
      <c r="H10" s="2">
        <v>4</v>
      </c>
      <c r="I10" s="2">
        <v>4</v>
      </c>
      <c r="J10" s="2">
        <v>4</v>
      </c>
    </row>
    <row r="11" spans="1:10" x14ac:dyDescent="0.2">
      <c r="A11" s="2" t="s">
        <v>19</v>
      </c>
      <c r="B11" s="2">
        <v>4</v>
      </c>
      <c r="C11" s="2">
        <v>5</v>
      </c>
      <c r="D11" s="2">
        <v>4</v>
      </c>
      <c r="E11" s="2">
        <v>5</v>
      </c>
      <c r="F11" s="2">
        <v>5</v>
      </c>
      <c r="G11" s="2">
        <v>4</v>
      </c>
      <c r="H11" s="2">
        <v>5</v>
      </c>
      <c r="I11" s="2">
        <v>4</v>
      </c>
      <c r="J11" s="2">
        <v>5</v>
      </c>
    </row>
    <row r="12" spans="1:10" x14ac:dyDescent="0.2">
      <c r="A12" s="2" t="s">
        <v>20</v>
      </c>
      <c r="B12" s="2">
        <v>5</v>
      </c>
      <c r="C12" s="2">
        <v>4</v>
      </c>
      <c r="D12" s="2">
        <v>4</v>
      </c>
      <c r="E12" s="2">
        <v>5</v>
      </c>
      <c r="F12" s="2">
        <v>5</v>
      </c>
      <c r="G12" s="2">
        <v>4</v>
      </c>
      <c r="H12" s="2">
        <v>4</v>
      </c>
      <c r="I12" s="2">
        <v>5</v>
      </c>
      <c r="J12" s="2"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tabSelected="1" zoomScale="73" zoomScaleNormal="73" workbookViewId="0">
      <selection activeCell="G69" sqref="G69"/>
    </sheetView>
  </sheetViews>
  <sheetFormatPr baseColWidth="10" defaultRowHeight="12.75" x14ac:dyDescent="0.2"/>
  <cols>
    <col min="1" max="1" width="14.85546875" bestFit="1" customWidth="1"/>
    <col min="2" max="2" width="13.28515625" bestFit="1" customWidth="1"/>
    <col min="4" max="4" width="13" bestFit="1" customWidth="1"/>
    <col min="8" max="8" width="10.42578125" customWidth="1"/>
    <col min="9" max="9" width="8.7109375" customWidth="1"/>
    <col min="10" max="10" width="9.5703125" customWidth="1"/>
    <col min="11" max="14" width="10.140625" bestFit="1" customWidth="1"/>
    <col min="15" max="15" width="14.42578125" bestFit="1" customWidth="1"/>
    <col min="16" max="16" width="9.140625" customWidth="1"/>
  </cols>
  <sheetData>
    <row r="1" spans="1:15" ht="13.5" thickBot="1" x14ac:dyDescent="0.25">
      <c r="A1" s="5" t="s">
        <v>48</v>
      </c>
      <c r="B1" s="40">
        <v>1</v>
      </c>
      <c r="C1" s="41">
        <v>2</v>
      </c>
      <c r="D1" s="42">
        <v>3</v>
      </c>
      <c r="E1" s="40">
        <v>4</v>
      </c>
      <c r="F1" s="41">
        <v>5</v>
      </c>
      <c r="G1" s="42">
        <v>6</v>
      </c>
      <c r="H1" s="40">
        <v>7</v>
      </c>
      <c r="I1" s="41">
        <v>8</v>
      </c>
      <c r="J1" s="42">
        <v>9</v>
      </c>
      <c r="L1" s="17" t="s">
        <v>21</v>
      </c>
      <c r="M1" s="17" t="s">
        <v>22</v>
      </c>
      <c r="N1" s="17" t="s">
        <v>23</v>
      </c>
      <c r="O1" s="17" t="s">
        <v>24</v>
      </c>
    </row>
    <row r="2" spans="1:15" x14ac:dyDescent="0.2">
      <c r="A2" s="58">
        <v>1</v>
      </c>
      <c r="B2" s="55">
        <v>3</v>
      </c>
      <c r="C2" s="43">
        <v>2</v>
      </c>
      <c r="D2" s="43">
        <v>4</v>
      </c>
      <c r="E2" s="44">
        <v>4</v>
      </c>
      <c r="F2" s="44">
        <v>2</v>
      </c>
      <c r="G2" s="44">
        <v>5</v>
      </c>
      <c r="H2" s="45">
        <v>3</v>
      </c>
      <c r="I2" s="45">
        <v>3</v>
      </c>
      <c r="J2" s="46">
        <v>4</v>
      </c>
      <c r="L2" s="79">
        <f>AVERAGE(B2:D2)</f>
        <v>3</v>
      </c>
      <c r="M2" s="79">
        <f>AVERAGE(E2:G2)</f>
        <v>3.6666666666666665</v>
      </c>
      <c r="N2" s="79">
        <f>AVERAGE(H2:J2)</f>
        <v>3.3333333333333335</v>
      </c>
      <c r="O2" s="79">
        <f>AVERAGE(B2:J2)</f>
        <v>3.3333333333333335</v>
      </c>
    </row>
    <row r="3" spans="1:15" x14ac:dyDescent="0.2">
      <c r="A3" s="59">
        <v>2</v>
      </c>
      <c r="B3" s="56">
        <v>3</v>
      </c>
      <c r="C3" s="20">
        <v>5</v>
      </c>
      <c r="D3" s="20">
        <v>4</v>
      </c>
      <c r="E3" s="8">
        <v>4</v>
      </c>
      <c r="F3" s="8">
        <v>5</v>
      </c>
      <c r="G3" s="8">
        <v>2</v>
      </c>
      <c r="H3" s="11">
        <v>4</v>
      </c>
      <c r="I3" s="11">
        <v>5</v>
      </c>
      <c r="J3" s="12">
        <v>4</v>
      </c>
      <c r="L3" s="79">
        <f>AVERAGE(B3:D3)</f>
        <v>4</v>
      </c>
      <c r="M3" s="79">
        <f t="shared" ref="M3:M12" si="0">AVERAGE(E3:G3)</f>
        <v>3.6666666666666665</v>
      </c>
      <c r="N3" s="79">
        <f t="shared" ref="N3:N12" si="1">AVERAGE(H3:J3)</f>
        <v>4.333333333333333</v>
      </c>
      <c r="O3" s="79">
        <f t="shared" ref="O3:O12" si="2">AVERAGE(B3:J3)</f>
        <v>4</v>
      </c>
    </row>
    <row r="4" spans="1:15" x14ac:dyDescent="0.2">
      <c r="A4" s="59">
        <f>A3+1</f>
        <v>3</v>
      </c>
      <c r="B4" s="57">
        <v>4</v>
      </c>
      <c r="C4" s="19">
        <v>3</v>
      </c>
      <c r="D4" s="19">
        <v>4</v>
      </c>
      <c r="E4" s="7">
        <v>4</v>
      </c>
      <c r="F4" s="7">
        <v>3</v>
      </c>
      <c r="G4" s="7">
        <v>3</v>
      </c>
      <c r="H4" s="9">
        <v>5</v>
      </c>
      <c r="I4" s="9">
        <v>5</v>
      </c>
      <c r="J4" s="10">
        <v>5</v>
      </c>
      <c r="L4" s="79">
        <f>AVERAGE(B4:D4)</f>
        <v>3.6666666666666665</v>
      </c>
      <c r="M4" s="79">
        <f t="shared" si="0"/>
        <v>3.3333333333333335</v>
      </c>
      <c r="N4" s="79">
        <f t="shared" si="1"/>
        <v>5</v>
      </c>
      <c r="O4" s="79">
        <f t="shared" si="2"/>
        <v>4</v>
      </c>
    </row>
    <row r="5" spans="1:15" x14ac:dyDescent="0.2">
      <c r="A5" s="59">
        <f t="shared" ref="A5:A12" si="3">A4+1</f>
        <v>4</v>
      </c>
      <c r="B5" s="56">
        <v>4</v>
      </c>
      <c r="C5" s="20">
        <v>4</v>
      </c>
      <c r="D5" s="20">
        <v>3</v>
      </c>
      <c r="E5" s="8">
        <v>3</v>
      </c>
      <c r="F5" s="8">
        <v>4</v>
      </c>
      <c r="G5" s="8">
        <v>4</v>
      </c>
      <c r="H5" s="11">
        <v>3</v>
      </c>
      <c r="I5" s="11">
        <v>4</v>
      </c>
      <c r="J5" s="12">
        <v>4</v>
      </c>
      <c r="L5" s="79">
        <f t="shared" ref="L5:L12" si="4">AVERAGE(B5:D5)</f>
        <v>3.6666666666666665</v>
      </c>
      <c r="M5" s="79">
        <f t="shared" si="0"/>
        <v>3.6666666666666665</v>
      </c>
      <c r="N5" s="79">
        <f t="shared" si="1"/>
        <v>3.6666666666666665</v>
      </c>
      <c r="O5" s="79">
        <f t="shared" si="2"/>
        <v>3.6666666666666665</v>
      </c>
    </row>
    <row r="6" spans="1:15" x14ac:dyDescent="0.2">
      <c r="A6" s="59">
        <f t="shared" si="3"/>
        <v>5</v>
      </c>
      <c r="B6" s="57">
        <v>5</v>
      </c>
      <c r="C6" s="19">
        <v>5</v>
      </c>
      <c r="D6" s="19">
        <v>1</v>
      </c>
      <c r="E6" s="7">
        <v>3</v>
      </c>
      <c r="F6" s="7">
        <v>2</v>
      </c>
      <c r="G6" s="7">
        <v>1</v>
      </c>
      <c r="H6" s="9">
        <v>1</v>
      </c>
      <c r="I6" s="9">
        <v>1</v>
      </c>
      <c r="J6" s="10">
        <v>3</v>
      </c>
      <c r="L6" s="79">
        <f t="shared" si="4"/>
        <v>3.6666666666666665</v>
      </c>
      <c r="M6" s="79">
        <f t="shared" si="0"/>
        <v>2</v>
      </c>
      <c r="N6" s="79">
        <f t="shared" si="1"/>
        <v>1.6666666666666667</v>
      </c>
      <c r="O6" s="79">
        <f t="shared" si="2"/>
        <v>2.4444444444444446</v>
      </c>
    </row>
    <row r="7" spans="1:15" x14ac:dyDescent="0.2">
      <c r="A7" s="59">
        <f t="shared" si="3"/>
        <v>6</v>
      </c>
      <c r="B7" s="56">
        <f>TRUNC((B6+B8)/2)</f>
        <v>4</v>
      </c>
      <c r="C7" s="20">
        <f t="shared" ref="C7:J7" si="5">TRUNC((C6+C8)/2)</f>
        <v>5</v>
      </c>
      <c r="D7" s="20">
        <f t="shared" si="5"/>
        <v>3</v>
      </c>
      <c r="E7" s="8">
        <f t="shared" si="5"/>
        <v>3</v>
      </c>
      <c r="F7" s="8">
        <f t="shared" si="5"/>
        <v>3</v>
      </c>
      <c r="G7" s="8">
        <f t="shared" si="5"/>
        <v>1</v>
      </c>
      <c r="H7" s="52">
        <f t="shared" si="5"/>
        <v>1</v>
      </c>
      <c r="I7" s="52">
        <f t="shared" si="5"/>
        <v>3</v>
      </c>
      <c r="J7" s="53">
        <f t="shared" si="5"/>
        <v>3</v>
      </c>
      <c r="L7" s="79">
        <f t="shared" si="4"/>
        <v>4</v>
      </c>
      <c r="M7" s="79">
        <f t="shared" si="0"/>
        <v>2.3333333333333335</v>
      </c>
      <c r="N7" s="79">
        <f t="shared" si="1"/>
        <v>2.3333333333333335</v>
      </c>
      <c r="O7" s="79">
        <f t="shared" si="2"/>
        <v>2.8888888888888888</v>
      </c>
    </row>
    <row r="8" spans="1:15" x14ac:dyDescent="0.2">
      <c r="A8" s="59">
        <f t="shared" si="3"/>
        <v>7</v>
      </c>
      <c r="B8" s="57">
        <v>4</v>
      </c>
      <c r="C8" s="19">
        <v>5</v>
      </c>
      <c r="D8" s="19">
        <v>5</v>
      </c>
      <c r="E8" s="7">
        <v>3</v>
      </c>
      <c r="F8" s="7">
        <v>4</v>
      </c>
      <c r="G8" s="7">
        <v>2</v>
      </c>
      <c r="H8" s="9">
        <v>1</v>
      </c>
      <c r="I8" s="9">
        <v>5</v>
      </c>
      <c r="J8" s="10">
        <v>4</v>
      </c>
      <c r="L8" s="79">
        <f t="shared" si="4"/>
        <v>4.666666666666667</v>
      </c>
      <c r="M8" s="79">
        <f t="shared" si="0"/>
        <v>3</v>
      </c>
      <c r="N8" s="79">
        <f t="shared" si="1"/>
        <v>3.3333333333333335</v>
      </c>
      <c r="O8" s="79">
        <f t="shared" si="2"/>
        <v>3.6666666666666665</v>
      </c>
    </row>
    <row r="9" spans="1:15" x14ac:dyDescent="0.2">
      <c r="A9" s="59">
        <f t="shared" si="3"/>
        <v>8</v>
      </c>
      <c r="B9" s="56">
        <v>2</v>
      </c>
      <c r="C9" s="20">
        <v>3</v>
      </c>
      <c r="D9" s="20">
        <v>1</v>
      </c>
      <c r="E9" s="8">
        <v>4</v>
      </c>
      <c r="F9" s="8">
        <v>5</v>
      </c>
      <c r="G9" s="8">
        <v>4</v>
      </c>
      <c r="H9" s="11">
        <v>5</v>
      </c>
      <c r="I9" s="11">
        <v>4</v>
      </c>
      <c r="J9" s="12">
        <v>5</v>
      </c>
      <c r="L9" s="79">
        <f t="shared" si="4"/>
        <v>2</v>
      </c>
      <c r="M9" s="79">
        <f t="shared" si="0"/>
        <v>4.333333333333333</v>
      </c>
      <c r="N9" s="79">
        <f t="shared" si="1"/>
        <v>4.666666666666667</v>
      </c>
      <c r="O9" s="79">
        <f t="shared" si="2"/>
        <v>3.6666666666666665</v>
      </c>
    </row>
    <row r="10" spans="1:15" x14ac:dyDescent="0.2">
      <c r="A10" s="59">
        <f t="shared" si="3"/>
        <v>9</v>
      </c>
      <c r="B10" s="57">
        <v>3</v>
      </c>
      <c r="C10" s="19">
        <v>4</v>
      </c>
      <c r="D10" s="19">
        <v>3</v>
      </c>
      <c r="E10" s="7">
        <v>3</v>
      </c>
      <c r="F10" s="7">
        <v>4</v>
      </c>
      <c r="G10" s="7">
        <v>4</v>
      </c>
      <c r="H10" s="9">
        <v>4</v>
      </c>
      <c r="I10" s="9">
        <v>4</v>
      </c>
      <c r="J10" s="10">
        <v>4</v>
      </c>
      <c r="L10" s="79">
        <f t="shared" si="4"/>
        <v>3.3333333333333335</v>
      </c>
      <c r="M10" s="79">
        <f t="shared" si="0"/>
        <v>3.6666666666666665</v>
      </c>
      <c r="N10" s="79">
        <f t="shared" si="1"/>
        <v>4</v>
      </c>
      <c r="O10" s="79">
        <f t="shared" si="2"/>
        <v>3.6666666666666665</v>
      </c>
    </row>
    <row r="11" spans="1:15" x14ac:dyDescent="0.2">
      <c r="A11" s="59">
        <f t="shared" si="3"/>
        <v>10</v>
      </c>
      <c r="B11" s="56">
        <v>4</v>
      </c>
      <c r="C11" s="20">
        <v>5</v>
      </c>
      <c r="D11" s="20">
        <v>4</v>
      </c>
      <c r="E11" s="8">
        <v>5</v>
      </c>
      <c r="F11" s="8">
        <v>5</v>
      </c>
      <c r="G11" s="8">
        <v>4</v>
      </c>
      <c r="H11" s="11">
        <v>5</v>
      </c>
      <c r="I11" s="11">
        <v>4</v>
      </c>
      <c r="J11" s="12">
        <v>5</v>
      </c>
      <c r="L11" s="79">
        <f t="shared" si="4"/>
        <v>4.333333333333333</v>
      </c>
      <c r="M11" s="79">
        <f t="shared" si="0"/>
        <v>4.666666666666667</v>
      </c>
      <c r="N11" s="79">
        <f t="shared" si="1"/>
        <v>4.666666666666667</v>
      </c>
      <c r="O11" s="79">
        <f t="shared" si="2"/>
        <v>4.5555555555555554</v>
      </c>
    </row>
    <row r="12" spans="1:15" ht="13.5" thickBot="1" x14ac:dyDescent="0.25">
      <c r="A12" s="70">
        <f t="shared" si="3"/>
        <v>11</v>
      </c>
      <c r="B12" s="65">
        <v>5</v>
      </c>
      <c r="C12" s="66">
        <v>4</v>
      </c>
      <c r="D12" s="66">
        <v>4</v>
      </c>
      <c r="E12" s="67">
        <v>5</v>
      </c>
      <c r="F12" s="67">
        <v>5</v>
      </c>
      <c r="G12" s="67">
        <v>4</v>
      </c>
      <c r="H12" s="68">
        <v>4</v>
      </c>
      <c r="I12" s="68">
        <v>5</v>
      </c>
      <c r="J12" s="69">
        <v>5</v>
      </c>
      <c r="L12" s="79">
        <f t="shared" si="4"/>
        <v>4.333333333333333</v>
      </c>
      <c r="M12" s="79">
        <f t="shared" si="0"/>
        <v>4.666666666666667</v>
      </c>
      <c r="N12" s="79">
        <f t="shared" si="1"/>
        <v>4.666666666666667</v>
      </c>
      <c r="O12" s="79">
        <f t="shared" si="2"/>
        <v>4.5555555555555554</v>
      </c>
    </row>
    <row r="13" spans="1:15" x14ac:dyDescent="0.2">
      <c r="A13" s="71" t="s">
        <v>52</v>
      </c>
      <c r="B13" s="72">
        <f>SUM(B2:B12)</f>
        <v>41</v>
      </c>
      <c r="C13" s="72">
        <f t="shared" ref="C13:O13" si="6">SUM(C2:C12)</f>
        <v>45</v>
      </c>
      <c r="D13" s="72">
        <f t="shared" si="6"/>
        <v>36</v>
      </c>
      <c r="E13" s="72">
        <f t="shared" si="6"/>
        <v>41</v>
      </c>
      <c r="F13" s="72">
        <f t="shared" si="6"/>
        <v>42</v>
      </c>
      <c r="G13" s="72">
        <f t="shared" si="6"/>
        <v>34</v>
      </c>
      <c r="H13" s="72">
        <f t="shared" si="6"/>
        <v>36</v>
      </c>
      <c r="I13" s="72">
        <f t="shared" si="6"/>
        <v>43</v>
      </c>
      <c r="J13" s="73">
        <f t="shared" si="6"/>
        <v>46</v>
      </c>
      <c r="L13" s="88">
        <f t="shared" si="6"/>
        <v>40.666666666666671</v>
      </c>
      <c r="M13" s="87">
        <f t="shared" si="6"/>
        <v>38.999999999999993</v>
      </c>
      <c r="N13" s="87">
        <f t="shared" si="6"/>
        <v>41.666666666666657</v>
      </c>
      <c r="O13" s="87">
        <f t="shared" si="6"/>
        <v>40.44444444444445</v>
      </c>
    </row>
    <row r="14" spans="1:15" x14ac:dyDescent="0.2">
      <c r="A14" s="74" t="s">
        <v>53</v>
      </c>
      <c r="B14" s="64">
        <f>COUNT(B2:B12)*COUNT($G$25:$G$29)</f>
        <v>55</v>
      </c>
      <c r="C14" s="64">
        <f t="shared" ref="C14:O14" si="7">COUNT(C2:C12)*COUNT($G$25:$G$29)</f>
        <v>55</v>
      </c>
      <c r="D14" s="64">
        <f t="shared" si="7"/>
        <v>55</v>
      </c>
      <c r="E14" s="64">
        <f t="shared" si="7"/>
        <v>55</v>
      </c>
      <c r="F14" s="64">
        <f t="shared" si="7"/>
        <v>55</v>
      </c>
      <c r="G14" s="64">
        <f t="shared" si="7"/>
        <v>55</v>
      </c>
      <c r="H14" s="64">
        <f t="shared" si="7"/>
        <v>55</v>
      </c>
      <c r="I14" s="64">
        <f t="shared" si="7"/>
        <v>55</v>
      </c>
      <c r="J14" s="75">
        <f t="shared" si="7"/>
        <v>55</v>
      </c>
      <c r="L14" s="89">
        <f t="shared" si="7"/>
        <v>55</v>
      </c>
      <c r="M14" s="75">
        <f t="shared" si="7"/>
        <v>55</v>
      </c>
      <c r="N14" s="75">
        <f t="shared" si="7"/>
        <v>55</v>
      </c>
      <c r="O14" s="75">
        <f t="shared" si="7"/>
        <v>55</v>
      </c>
    </row>
    <row r="15" spans="1:15" ht="13.5" thickBot="1" x14ac:dyDescent="0.25">
      <c r="A15" s="76" t="s">
        <v>54</v>
      </c>
      <c r="B15" s="77">
        <f>B13/B14</f>
        <v>0.74545454545454548</v>
      </c>
      <c r="C15" s="77">
        <f t="shared" ref="C15:O15" si="8">C13/C14</f>
        <v>0.81818181818181823</v>
      </c>
      <c r="D15" s="77">
        <f t="shared" si="8"/>
        <v>0.65454545454545454</v>
      </c>
      <c r="E15" s="77">
        <f t="shared" si="8"/>
        <v>0.74545454545454548</v>
      </c>
      <c r="F15" s="77">
        <f t="shared" si="8"/>
        <v>0.76363636363636367</v>
      </c>
      <c r="G15" s="77">
        <f t="shared" si="8"/>
        <v>0.61818181818181817</v>
      </c>
      <c r="H15" s="77">
        <f t="shared" si="8"/>
        <v>0.65454545454545454</v>
      </c>
      <c r="I15" s="77">
        <f t="shared" si="8"/>
        <v>0.78181818181818186</v>
      </c>
      <c r="J15" s="77">
        <f t="shared" si="8"/>
        <v>0.83636363636363631</v>
      </c>
      <c r="L15" s="90">
        <f t="shared" si="8"/>
        <v>0.73939393939393949</v>
      </c>
      <c r="M15" s="77">
        <f t="shared" si="8"/>
        <v>0.70909090909090899</v>
      </c>
      <c r="N15" s="77">
        <f t="shared" si="8"/>
        <v>0.75757575757575746</v>
      </c>
      <c r="O15" s="91">
        <f t="shared" si="8"/>
        <v>0.73535353535353543</v>
      </c>
    </row>
    <row r="16" spans="1:15" x14ac:dyDescent="0.2">
      <c r="A16" s="61"/>
      <c r="B16" s="62"/>
      <c r="C16" s="62"/>
      <c r="D16" s="62"/>
      <c r="E16" s="62"/>
      <c r="F16" s="62"/>
      <c r="G16" s="62"/>
      <c r="H16" s="62"/>
      <c r="I16" s="62"/>
      <c r="J16" s="62"/>
      <c r="L16" s="60"/>
      <c r="M16" s="60"/>
      <c r="N16" s="60"/>
      <c r="O16" s="60"/>
    </row>
    <row r="17" spans="1:18" x14ac:dyDescent="0.2">
      <c r="A17" s="25" t="s">
        <v>49</v>
      </c>
      <c r="B17" s="63">
        <f>AVERAGE(B2:B12)</f>
        <v>3.7272727272727271</v>
      </c>
      <c r="C17" s="63">
        <f t="shared" ref="C17:O17" si="9">AVERAGE(C2:C12)</f>
        <v>4.0909090909090908</v>
      </c>
      <c r="D17" s="63">
        <f t="shared" si="9"/>
        <v>3.2727272727272729</v>
      </c>
      <c r="E17" s="63">
        <f t="shared" si="9"/>
        <v>3.7272727272727271</v>
      </c>
      <c r="F17" s="63">
        <f t="shared" si="9"/>
        <v>3.8181818181818183</v>
      </c>
      <c r="G17" s="63">
        <f t="shared" si="9"/>
        <v>3.0909090909090908</v>
      </c>
      <c r="H17" s="63">
        <f t="shared" si="9"/>
        <v>3.2727272727272729</v>
      </c>
      <c r="I17" s="63">
        <f t="shared" si="9"/>
        <v>3.9090909090909092</v>
      </c>
      <c r="J17" s="63">
        <f t="shared" si="9"/>
        <v>4.1818181818181817</v>
      </c>
      <c r="L17" s="63">
        <f t="shared" si="9"/>
        <v>3.6969696969696972</v>
      </c>
      <c r="M17" s="63">
        <f t="shared" si="9"/>
        <v>3.545454545454545</v>
      </c>
      <c r="N17" s="63">
        <f t="shared" si="9"/>
        <v>3.7878787878787872</v>
      </c>
      <c r="O17" s="63">
        <f t="shared" si="9"/>
        <v>3.6767676767676774</v>
      </c>
    </row>
    <row r="18" spans="1:18" x14ac:dyDescent="0.2">
      <c r="A18" s="25" t="s">
        <v>50</v>
      </c>
      <c r="B18" s="64">
        <f>MEDIAN(B2:B12)</f>
        <v>4</v>
      </c>
      <c r="C18" s="64">
        <f t="shared" ref="C18:O18" si="10">MEDIAN(C2:C12)</f>
        <v>4</v>
      </c>
      <c r="D18" s="64">
        <f t="shared" si="10"/>
        <v>4</v>
      </c>
      <c r="E18" s="64">
        <f t="shared" si="10"/>
        <v>4</v>
      </c>
      <c r="F18" s="64">
        <f t="shared" si="10"/>
        <v>4</v>
      </c>
      <c r="G18" s="64">
        <f t="shared" si="10"/>
        <v>4</v>
      </c>
      <c r="H18" s="64">
        <f t="shared" si="10"/>
        <v>4</v>
      </c>
      <c r="I18" s="64">
        <f t="shared" si="10"/>
        <v>4</v>
      </c>
      <c r="J18" s="64">
        <f t="shared" si="10"/>
        <v>4</v>
      </c>
      <c r="L18" s="63">
        <f t="shared" si="10"/>
        <v>3.6666666666666665</v>
      </c>
      <c r="M18" s="63">
        <f t="shared" si="10"/>
        <v>3.6666666666666665</v>
      </c>
      <c r="N18" s="63">
        <f t="shared" si="10"/>
        <v>4</v>
      </c>
      <c r="O18" s="63">
        <f t="shared" si="10"/>
        <v>3.6666666666666665</v>
      </c>
    </row>
    <row r="19" spans="1:18" ht="13.5" thickBot="1" x14ac:dyDescent="0.25">
      <c r="A19" s="61"/>
      <c r="B19" s="62"/>
      <c r="C19" s="62"/>
      <c r="D19" s="62"/>
      <c r="E19" s="62"/>
      <c r="F19" s="62"/>
      <c r="G19" s="62"/>
      <c r="H19" s="62"/>
      <c r="I19" s="62"/>
      <c r="J19" s="62"/>
      <c r="L19" s="60"/>
      <c r="M19" s="60"/>
      <c r="N19" s="60"/>
      <c r="O19" s="60"/>
    </row>
    <row r="20" spans="1:18" ht="13.5" thickBot="1" x14ac:dyDescent="0.25">
      <c r="A20" s="61"/>
      <c r="B20" s="62"/>
      <c r="C20" s="62"/>
      <c r="D20" s="92"/>
      <c r="E20" s="93"/>
      <c r="F20" s="94" t="s">
        <v>63</v>
      </c>
      <c r="G20" s="95"/>
      <c r="H20" s="62"/>
      <c r="I20" s="62"/>
      <c r="J20" s="62"/>
      <c r="L20" s="60"/>
      <c r="M20" s="60"/>
      <c r="N20" s="60"/>
      <c r="O20" s="60"/>
    </row>
    <row r="21" spans="1:18" x14ac:dyDescent="0.2">
      <c r="A21" s="61"/>
      <c r="B21" s="62"/>
      <c r="C21" s="62"/>
      <c r="D21" s="62"/>
      <c r="E21" s="62"/>
      <c r="F21" s="62"/>
      <c r="G21" s="62"/>
      <c r="H21" s="62"/>
      <c r="I21" s="62"/>
      <c r="J21" s="62"/>
      <c r="L21" s="60"/>
      <c r="M21" s="60"/>
      <c r="N21" s="60"/>
      <c r="O21" s="60"/>
    </row>
    <row r="22" spans="1:18" ht="13.5" thickBot="1" x14ac:dyDescent="0.25"/>
    <row r="23" spans="1:18" x14ac:dyDescent="0.2">
      <c r="K23" s="108" t="s">
        <v>43</v>
      </c>
      <c r="L23" s="109"/>
      <c r="M23" s="96" t="s">
        <v>44</v>
      </c>
      <c r="N23" s="97"/>
      <c r="O23" s="98" t="s">
        <v>45</v>
      </c>
      <c r="P23" s="99"/>
      <c r="Q23" s="98" t="s">
        <v>46</v>
      </c>
      <c r="R23" s="99"/>
    </row>
    <row r="24" spans="1:18" ht="16.5" thickBot="1" x14ac:dyDescent="0.3">
      <c r="H24" s="24" t="s">
        <v>47</v>
      </c>
      <c r="I24" s="32" t="s">
        <v>39</v>
      </c>
      <c r="J24" s="33" t="s">
        <v>40</v>
      </c>
      <c r="K24" s="26" t="s">
        <v>41</v>
      </c>
      <c r="L24" s="28" t="s">
        <v>42</v>
      </c>
      <c r="M24" s="29" t="s">
        <v>41</v>
      </c>
      <c r="N24" s="30" t="s">
        <v>42</v>
      </c>
      <c r="O24" s="31" t="s">
        <v>41</v>
      </c>
      <c r="P24" s="27" t="s">
        <v>42</v>
      </c>
      <c r="Q24" s="31" t="s">
        <v>41</v>
      </c>
      <c r="R24" s="27" t="s">
        <v>42</v>
      </c>
    </row>
    <row r="25" spans="1:18" x14ac:dyDescent="0.2">
      <c r="F25" s="80"/>
      <c r="G25" s="25">
        <v>1</v>
      </c>
      <c r="H25" s="25" t="s">
        <v>32</v>
      </c>
      <c r="I25" s="16">
        <v>1</v>
      </c>
      <c r="J25" s="16">
        <f>I25+$D$52</f>
        <v>1.8</v>
      </c>
      <c r="K25" s="54">
        <f t="array" ref="K25:K29">FREQUENCY(L2:L12,J25:J29)</f>
        <v>0</v>
      </c>
      <c r="L25" s="35">
        <f>K25/$K$30</f>
        <v>0</v>
      </c>
      <c r="M25" s="37">
        <f t="array" ref="M25:M29">FREQUENCY(M2:M12,J25:J29)</f>
        <v>0</v>
      </c>
      <c r="N25" s="35">
        <f>M25/$M$30</f>
        <v>0</v>
      </c>
      <c r="O25" s="37">
        <f t="array" ref="O25:O29">FREQUENCY(N2:N12,J25:J29)</f>
        <v>1</v>
      </c>
      <c r="P25" s="35">
        <f>O25/$O$30</f>
        <v>9.0909090909090912E-2</v>
      </c>
      <c r="Q25" s="37">
        <f t="array" ref="Q25:Q29">FREQUENCY(O2:O12,J25:J29)</f>
        <v>0</v>
      </c>
      <c r="R25" s="36">
        <f>Q25/$Q$30</f>
        <v>0</v>
      </c>
    </row>
    <row r="26" spans="1:18" x14ac:dyDescent="0.2">
      <c r="F26" s="80"/>
      <c r="G26" s="25">
        <v>2</v>
      </c>
      <c r="H26" s="25" t="s">
        <v>33</v>
      </c>
      <c r="I26" s="16">
        <f>J25</f>
        <v>1.8</v>
      </c>
      <c r="J26" s="16">
        <f>I26+$D$52</f>
        <v>2.6</v>
      </c>
      <c r="K26" s="54">
        <v>1</v>
      </c>
      <c r="L26" s="35">
        <f t="shared" ref="L26:L29" si="11">K26/$K$30</f>
        <v>9.0909090909090912E-2</v>
      </c>
      <c r="M26" s="37">
        <v>2</v>
      </c>
      <c r="N26" s="35">
        <f t="shared" ref="N26:N29" si="12">M26/$M$30</f>
        <v>0.18181818181818182</v>
      </c>
      <c r="O26" s="37">
        <v>1</v>
      </c>
      <c r="P26" s="35">
        <f t="shared" ref="P26:P29" si="13">O26/$O$30</f>
        <v>9.0909090909090912E-2</v>
      </c>
      <c r="Q26" s="37">
        <v>1</v>
      </c>
      <c r="R26" s="36">
        <f t="shared" ref="R26:R29" si="14">Q26/$Q$30</f>
        <v>9.0909090909090912E-2</v>
      </c>
    </row>
    <row r="27" spans="1:18" x14ac:dyDescent="0.2">
      <c r="F27" s="80"/>
      <c r="G27" s="25">
        <v>3</v>
      </c>
      <c r="H27" s="25" t="s">
        <v>34</v>
      </c>
      <c r="I27" s="16">
        <f>J26</f>
        <v>2.6</v>
      </c>
      <c r="J27" s="82">
        <f>I27+$D$52</f>
        <v>3.4000000000000004</v>
      </c>
      <c r="K27" s="54">
        <v>2</v>
      </c>
      <c r="L27" s="35">
        <f t="shared" si="11"/>
        <v>0.18181818181818182</v>
      </c>
      <c r="M27" s="37">
        <v>2</v>
      </c>
      <c r="N27" s="35">
        <f t="shared" si="12"/>
        <v>0.18181818181818182</v>
      </c>
      <c r="O27" s="37">
        <v>2</v>
      </c>
      <c r="P27" s="35">
        <f t="shared" si="13"/>
        <v>0.18181818181818182</v>
      </c>
      <c r="Q27" s="37">
        <v>2</v>
      </c>
      <c r="R27" s="36">
        <f t="shared" si="14"/>
        <v>0.18181818181818182</v>
      </c>
    </row>
    <row r="28" spans="1:18" x14ac:dyDescent="0.2">
      <c r="F28" s="81"/>
      <c r="G28" s="25">
        <v>4</v>
      </c>
      <c r="H28" s="25" t="s">
        <v>35</v>
      </c>
      <c r="I28" s="16">
        <f>J27</f>
        <v>3.4000000000000004</v>
      </c>
      <c r="J28" s="16">
        <f>I28+$D$52</f>
        <v>4.2</v>
      </c>
      <c r="K28" s="54">
        <v>5</v>
      </c>
      <c r="L28" s="35">
        <f t="shared" si="11"/>
        <v>0.45454545454545453</v>
      </c>
      <c r="M28" s="37">
        <v>4</v>
      </c>
      <c r="N28" s="35">
        <f t="shared" si="12"/>
        <v>0.36363636363636365</v>
      </c>
      <c r="O28" s="37">
        <v>2</v>
      </c>
      <c r="P28" s="35">
        <f t="shared" si="13"/>
        <v>0.18181818181818182</v>
      </c>
      <c r="Q28" s="37">
        <v>6</v>
      </c>
      <c r="R28" s="36">
        <f t="shared" si="14"/>
        <v>0.54545454545454541</v>
      </c>
    </row>
    <row r="29" spans="1:18" ht="13.5" thickBot="1" x14ac:dyDescent="0.25">
      <c r="F29" s="81"/>
      <c r="G29" s="25">
        <v>5</v>
      </c>
      <c r="H29" s="25" t="s">
        <v>36</v>
      </c>
      <c r="I29" s="16">
        <f>J28</f>
        <v>4.2</v>
      </c>
      <c r="J29" s="16">
        <f>I29+$D$52</f>
        <v>5</v>
      </c>
      <c r="K29" s="54">
        <v>3</v>
      </c>
      <c r="L29" s="35">
        <f t="shared" si="11"/>
        <v>0.27272727272727271</v>
      </c>
      <c r="M29" s="38">
        <v>3</v>
      </c>
      <c r="N29" s="35">
        <f t="shared" si="12"/>
        <v>0.27272727272727271</v>
      </c>
      <c r="O29" s="38">
        <v>5</v>
      </c>
      <c r="P29" s="35">
        <f t="shared" si="13"/>
        <v>0.45454545454545453</v>
      </c>
      <c r="Q29" s="38">
        <v>2</v>
      </c>
      <c r="R29" s="36">
        <f t="shared" si="14"/>
        <v>0.18181818181818182</v>
      </c>
    </row>
    <row r="30" spans="1:18" ht="13.5" thickBot="1" x14ac:dyDescent="0.25">
      <c r="K30" s="34">
        <f t="shared" ref="K30:R30" si="15">SUM(K25:K29)</f>
        <v>11</v>
      </c>
      <c r="L30" s="39">
        <f t="shared" si="15"/>
        <v>1</v>
      </c>
      <c r="M30" s="34">
        <f t="shared" si="15"/>
        <v>11</v>
      </c>
      <c r="N30" s="39">
        <f t="shared" si="15"/>
        <v>1</v>
      </c>
      <c r="O30" s="34">
        <f t="shared" si="15"/>
        <v>11</v>
      </c>
      <c r="P30" s="39">
        <f t="shared" si="15"/>
        <v>1</v>
      </c>
      <c r="Q30" s="34">
        <f t="shared" si="15"/>
        <v>11</v>
      </c>
      <c r="R30" s="39">
        <f t="shared" si="15"/>
        <v>1</v>
      </c>
    </row>
    <row r="39" spans="2:4" x14ac:dyDescent="0.2">
      <c r="B39" s="21" t="s">
        <v>25</v>
      </c>
      <c r="C39" s="21" t="s">
        <v>26</v>
      </c>
      <c r="D39" s="86" t="s">
        <v>62</v>
      </c>
    </row>
    <row r="40" spans="2:4" x14ac:dyDescent="0.2">
      <c r="C40" s="18" t="s">
        <v>27</v>
      </c>
      <c r="D40" s="86" t="s">
        <v>60</v>
      </c>
    </row>
    <row r="41" spans="2:4" x14ac:dyDescent="0.2">
      <c r="C41" s="14" t="s">
        <v>28</v>
      </c>
      <c r="D41" s="86" t="s">
        <v>59</v>
      </c>
    </row>
    <row r="42" spans="2:4" x14ac:dyDescent="0.2">
      <c r="C42" s="13" t="s">
        <v>29</v>
      </c>
      <c r="D42" s="86" t="s">
        <v>58</v>
      </c>
    </row>
    <row r="45" spans="2:4" x14ac:dyDescent="0.2">
      <c r="B45" s="105" t="s">
        <v>30</v>
      </c>
      <c r="C45" s="22" t="s">
        <v>31</v>
      </c>
      <c r="D45" s="24" t="s">
        <v>56</v>
      </c>
    </row>
    <row r="46" spans="2:4" x14ac:dyDescent="0.2">
      <c r="B46" s="106"/>
      <c r="C46" s="6">
        <v>1</v>
      </c>
      <c r="D46" s="6" t="s">
        <v>32</v>
      </c>
    </row>
    <row r="47" spans="2:4" x14ac:dyDescent="0.2">
      <c r="B47" s="106"/>
      <c r="C47" s="6">
        <v>2</v>
      </c>
      <c r="D47" s="6" t="s">
        <v>33</v>
      </c>
    </row>
    <row r="48" spans="2:4" x14ac:dyDescent="0.2">
      <c r="B48" s="106"/>
      <c r="C48" s="6">
        <v>3</v>
      </c>
      <c r="D48" s="6" t="s">
        <v>34</v>
      </c>
    </row>
    <row r="49" spans="1:20" x14ac:dyDescent="0.2">
      <c r="B49" s="106"/>
      <c r="C49" s="6">
        <v>4</v>
      </c>
      <c r="D49" s="6" t="s">
        <v>35</v>
      </c>
    </row>
    <row r="50" spans="1:20" x14ac:dyDescent="0.2">
      <c r="B50" s="107"/>
      <c r="C50" s="6">
        <v>5</v>
      </c>
      <c r="D50" s="6" t="s">
        <v>36</v>
      </c>
    </row>
    <row r="51" spans="1:20" x14ac:dyDescent="0.2">
      <c r="B51" s="15"/>
      <c r="C51" s="15"/>
      <c r="D51" s="15"/>
    </row>
    <row r="52" spans="1:20" x14ac:dyDescent="0.2">
      <c r="A52" s="84" t="s">
        <v>57</v>
      </c>
      <c r="B52" s="84">
        <v>4</v>
      </c>
      <c r="C52" s="6">
        <v>5</v>
      </c>
      <c r="D52" s="23">
        <f>B52/C52</f>
        <v>0.8</v>
      </c>
      <c r="E52" s="78">
        <f>J27/G29</f>
        <v>0.68</v>
      </c>
    </row>
    <row r="53" spans="1:20" x14ac:dyDescent="0.2">
      <c r="B53" s="103" t="s">
        <v>37</v>
      </c>
      <c r="C53" s="103" t="s">
        <v>38</v>
      </c>
      <c r="D53" s="101" t="s">
        <v>51</v>
      </c>
      <c r="E53" s="100" t="s">
        <v>55</v>
      </c>
    </row>
    <row r="54" spans="1:20" x14ac:dyDescent="0.2">
      <c r="B54" s="104"/>
      <c r="C54" s="104"/>
      <c r="D54" s="102"/>
      <c r="E54" s="100"/>
    </row>
    <row r="55" spans="1:20" x14ac:dyDescent="0.2">
      <c r="D55" s="83"/>
    </row>
    <row r="57" spans="1:20" x14ac:dyDescent="0.2">
      <c r="S57" s="47"/>
      <c r="T57" s="85" t="s">
        <v>61</v>
      </c>
    </row>
    <row r="58" spans="1:20" x14ac:dyDescent="0.2">
      <c r="S58" s="48"/>
      <c r="T58" s="85" t="s">
        <v>33</v>
      </c>
    </row>
    <row r="59" spans="1:20" x14ac:dyDescent="0.2">
      <c r="S59" s="49"/>
      <c r="T59" s="85" t="s">
        <v>34</v>
      </c>
    </row>
    <row r="60" spans="1:20" x14ac:dyDescent="0.2">
      <c r="S60" s="50"/>
      <c r="T60" s="85" t="s">
        <v>35</v>
      </c>
    </row>
    <row r="61" spans="1:20" x14ac:dyDescent="0.2">
      <c r="S61" s="51"/>
      <c r="T61" s="85" t="s">
        <v>36</v>
      </c>
    </row>
  </sheetData>
  <mergeCells count="9">
    <mergeCell ref="B53:B54"/>
    <mergeCell ref="C53:C54"/>
    <mergeCell ref="B45:B50"/>
    <mergeCell ref="K23:L23"/>
    <mergeCell ref="M23:N23"/>
    <mergeCell ref="O23:P23"/>
    <mergeCell ref="Q23:R23"/>
    <mergeCell ref="E53:E54"/>
    <mergeCell ref="D53:D54"/>
  </mergeCells>
  <conditionalFormatting sqref="B15">
    <cfRule type="expression" dxfId="2" priority="3">
      <formula>B15&lt;=$E$52</formula>
    </cfRule>
  </conditionalFormatting>
  <conditionalFormatting sqref="C15:J15 L15:O15">
    <cfRule type="expression" dxfId="1" priority="2">
      <formula>C15&lt;=$E$52</formula>
    </cfRule>
  </conditionalFormatting>
  <conditionalFormatting sqref="B17:J17 L17:O17">
    <cfRule type="expression" dxfId="0" priority="1">
      <formula>B17&lt;=$J$27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Respuestas de formulario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AyF Contratistas</dc:creator>
  <cp:lastModifiedBy>TuSoft</cp:lastModifiedBy>
  <dcterms:created xsi:type="dcterms:W3CDTF">2025-10-30T18:44:54Z</dcterms:created>
  <dcterms:modified xsi:type="dcterms:W3CDTF">2025-11-12T09:47:24Z</dcterms:modified>
</cp:coreProperties>
</file>