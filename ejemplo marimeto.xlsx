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F Contratistas\Desktop\ATU INTELIGENCIA ARTIFICIAL\EJEMPLOS PROFE\"/>
    </mc:Choice>
  </mc:AlternateContent>
  <bookViews>
    <workbookView xWindow="0" yWindow="0" windowWidth="2049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0" i="1" l="1"/>
  <c r="M49" i="1"/>
  <c r="M48" i="1"/>
  <c r="M47" i="1"/>
  <c r="M40" i="1"/>
  <c r="M39" i="1"/>
  <c r="M38" i="1"/>
  <c r="M37" i="1"/>
  <c r="M29" i="1"/>
  <c r="M28" i="1"/>
  <c r="M27" i="1"/>
  <c r="M26" i="1"/>
  <c r="H11" i="1" l="1"/>
  <c r="F11" i="1"/>
  <c r="D11" i="1"/>
  <c r="H9" i="1"/>
  <c r="F9" i="1"/>
  <c r="D9" i="1"/>
  <c r="H7" i="1"/>
  <c r="F7" i="1"/>
  <c r="D7" i="1"/>
  <c r="H5" i="1"/>
  <c r="F5" i="1"/>
  <c r="D5" i="1"/>
  <c r="G12" i="1"/>
  <c r="G10" i="1"/>
  <c r="G8" i="1"/>
  <c r="G6" i="1"/>
  <c r="E12" i="1"/>
  <c r="E10" i="1"/>
  <c r="E8" i="1"/>
  <c r="E6" i="1"/>
  <c r="C12" i="1"/>
  <c r="C10" i="1"/>
  <c r="C8" i="1"/>
  <c r="C6" i="1"/>
  <c r="M18" i="1"/>
  <c r="M17" i="1"/>
  <c r="M16" i="1"/>
  <c r="M15" i="1"/>
  <c r="M6" i="1"/>
  <c r="M5" i="1"/>
  <c r="M4" i="1"/>
  <c r="J13" i="1"/>
  <c r="I15" i="1"/>
  <c r="J11" i="1"/>
  <c r="J9" i="1"/>
  <c r="J7" i="1"/>
  <c r="J5" i="1"/>
  <c r="G15" i="1"/>
  <c r="E15" i="1"/>
  <c r="C15" i="1"/>
  <c r="I13" i="1"/>
  <c r="G13" i="1"/>
  <c r="E13" i="1"/>
  <c r="C13" i="1"/>
  <c r="I11" i="1"/>
  <c r="I9" i="1"/>
  <c r="I7" i="1"/>
  <c r="I5" i="1"/>
</calcChain>
</file>

<file path=xl/sharedStrings.xml><?xml version="1.0" encoding="utf-8"?>
<sst xmlns="http://schemas.openxmlformats.org/spreadsheetml/2006/main" count="48" uniqueCount="13">
  <si>
    <t>TIEMPO</t>
  </si>
  <si>
    <t>LADRILLO</t>
  </si>
  <si>
    <t>CEMENTO</t>
  </si>
  <si>
    <t>ARENA</t>
  </si>
  <si>
    <t>HIERRO</t>
  </si>
  <si>
    <t>TOTAL</t>
  </si>
  <si>
    <t>%</t>
  </si>
  <si>
    <t xml:space="preserve">COMPRAS DE MATERIALES </t>
  </si>
  <si>
    <t>materiales</t>
  </si>
  <si>
    <t>PORCENTAJE</t>
  </si>
  <si>
    <t xml:space="preserve">ARENA </t>
  </si>
  <si>
    <t>n/a</t>
  </si>
  <si>
    <t>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</si>
</sst>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FF00"/>
      <name val="Calibri"/>
      <family val="2"/>
      <scheme val="minor"/>
    </font>
    <font>
      <b/>
      <sz val="11"/>
      <color rgb="FF00CCFF"/>
      <name val="Calibri"/>
      <family val="2"/>
      <scheme val="minor"/>
    </font>
    <font>
      <sz val="11"/>
      <color rgb="FF00FF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00"/>
        <bgColor indexed="64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8" fillId="0" borderId="0" xfId="0" applyFont="1"/>
    <xf numFmtId="9" fontId="0" fillId="0" borderId="0" xfId="0" applyNumberFormat="1"/>
    <xf numFmtId="0" fontId="2" fillId="6" borderId="2" xfId="0" applyFont="1" applyFill="1" applyBorder="1" applyAlignment="1">
      <alignment horizontal="center"/>
    </xf>
    <xf numFmtId="9" fontId="0" fillId="6" borderId="4" xfId="0" applyNumberForma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9" fontId="0" fillId="6" borderId="23" xfId="0" applyNumberForma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9" fontId="0" fillId="6" borderId="7" xfId="0" applyNumberForma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9" fontId="2" fillId="7" borderId="23" xfId="0" applyNumberFormat="1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9" fontId="2" fillId="7" borderId="7" xfId="0" applyNumberFormat="1" applyFont="1" applyFill="1" applyBorder="1" applyAlignment="1">
      <alignment horizontal="center"/>
    </xf>
    <xf numFmtId="9" fontId="2" fillId="7" borderId="4" xfId="0" applyNumberFormat="1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9" fontId="13" fillId="8" borderId="4" xfId="1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9" fontId="12" fillId="8" borderId="5" xfId="1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9" fontId="12" fillId="8" borderId="13" xfId="1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9" fontId="13" fillId="9" borderId="4" xfId="1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9" fontId="12" fillId="9" borderId="5" xfId="1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9" fontId="12" fillId="9" borderId="13" xfId="1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9" fontId="13" fillId="10" borderId="4" xfId="1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9" fontId="12" fillId="10" borderId="5" xfId="1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9" fontId="12" fillId="10" borderId="13" xfId="1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9" fontId="13" fillId="11" borderId="4" xfId="1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9" fontId="12" fillId="11" borderId="20" xfId="1" applyFont="1" applyFill="1" applyBorder="1" applyAlignment="1">
      <alignment horizontal="center"/>
    </xf>
    <xf numFmtId="0" fontId="2" fillId="11" borderId="21" xfId="0" applyFont="1" applyFill="1" applyBorder="1" applyAlignment="1">
      <alignment horizontal="center"/>
    </xf>
    <xf numFmtId="9" fontId="12" fillId="11" borderId="1" xfId="1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9" fontId="12" fillId="11" borderId="3" xfId="0" applyNumberFormat="1" applyFont="1" applyFill="1" applyBorder="1" applyAlignment="1">
      <alignment horizontal="center"/>
    </xf>
    <xf numFmtId="0" fontId="2" fillId="11" borderId="22" xfId="0" applyFont="1" applyFill="1" applyBorder="1" applyAlignment="1">
      <alignment horizontal="center"/>
    </xf>
    <xf numFmtId="9" fontId="12" fillId="11" borderId="35" xfId="0" applyNumberFormat="1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9" fontId="12" fillId="11" borderId="6" xfId="0" applyNumberFormat="1" applyFont="1" applyFill="1" applyBorder="1" applyAlignment="1">
      <alignment horizontal="center"/>
    </xf>
    <xf numFmtId="9" fontId="12" fillId="11" borderId="3" xfId="1" applyFont="1" applyFill="1" applyBorder="1" applyAlignment="1">
      <alignment horizontal="center"/>
    </xf>
    <xf numFmtId="9" fontId="12" fillId="11" borderId="4" xfId="1" applyFont="1" applyFill="1" applyBorder="1" applyAlignment="1">
      <alignment horizontal="center"/>
    </xf>
    <xf numFmtId="9" fontId="12" fillId="11" borderId="35" xfId="1" applyFont="1" applyFill="1" applyBorder="1" applyAlignment="1">
      <alignment horizontal="center"/>
    </xf>
    <xf numFmtId="9" fontId="12" fillId="11" borderId="23" xfId="1" applyFont="1" applyFill="1" applyBorder="1" applyAlignment="1">
      <alignment horizontal="center"/>
    </xf>
    <xf numFmtId="9" fontId="12" fillId="11" borderId="6" xfId="1" applyFont="1" applyFill="1" applyBorder="1" applyAlignment="1">
      <alignment horizontal="center"/>
    </xf>
    <xf numFmtId="9" fontId="12" fillId="11" borderId="7" xfId="1" applyFont="1" applyFill="1" applyBorder="1" applyAlignment="1">
      <alignment horizontal="center"/>
    </xf>
    <xf numFmtId="0" fontId="14" fillId="13" borderId="0" xfId="0" applyFont="1" applyFill="1"/>
    <xf numFmtId="0" fontId="0" fillId="13" borderId="0" xfId="0" applyFill="1"/>
    <xf numFmtId="0" fontId="0" fillId="12" borderId="0" xfId="0" applyFill="1"/>
    <xf numFmtId="0" fontId="2" fillId="12" borderId="0" xfId="0" applyFont="1" applyFill="1" applyAlignment="1">
      <alignment horizontal="center"/>
    </xf>
    <xf numFmtId="0" fontId="2" fillId="12" borderId="36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11" fillId="5" borderId="34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9" fontId="2" fillId="12" borderId="24" xfId="1" applyFont="1" applyFill="1" applyBorder="1" applyAlignment="1">
      <alignment horizontal="center" vertical="center"/>
    </xf>
    <xf numFmtId="9" fontId="2" fillId="12" borderId="5" xfId="1" applyFont="1" applyFill="1" applyBorder="1" applyAlignment="1">
      <alignment horizontal="center" vertical="center"/>
    </xf>
    <xf numFmtId="9" fontId="2" fillId="0" borderId="25" xfId="1" applyFont="1" applyBorder="1" applyAlignment="1">
      <alignment horizontal="center" vertical="center"/>
    </xf>
    <xf numFmtId="9" fontId="2" fillId="0" borderId="7" xfId="1" applyFont="1" applyBorder="1" applyAlignment="1">
      <alignment horizontal="center" vertical="center"/>
    </xf>
    <xf numFmtId="9" fontId="2" fillId="12" borderId="27" xfId="1" applyFont="1" applyFill="1" applyBorder="1" applyAlignment="1">
      <alignment horizontal="center" vertical="center"/>
    </xf>
    <xf numFmtId="9" fontId="2" fillId="12" borderId="13" xfId="1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CC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Hoja1!$M$3</c:f>
              <c:strCache>
                <c:ptCount val="1"/>
                <c:pt idx="0">
                  <c:v>PORCENTAJE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0936132983377078E-7"/>
                  <c:y val="-4.16666666666666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09733158355205E-2"/>
                      <c:h val="6.93751822688830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C33-4B10-AADE-96D6790E09EB}"/>
                </c:ext>
              </c:extLst>
            </c:dLbl>
            <c:dLbl>
              <c:idx val="1"/>
              <c:layout>
                <c:manualLayout>
                  <c:x val="3.055555555555555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C33-4B10-AADE-96D6790E09EB}"/>
                </c:ext>
              </c:extLst>
            </c:dLbl>
            <c:dLbl>
              <c:idx val="2"/>
              <c:layout>
                <c:manualLayout>
                  <c:x val="2.5000000000000001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C33-4B10-AADE-96D6790E09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Hoja1!$L$4:$L$6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Hoja1!$M$4:$M$6</c:f>
              <c:numCache>
                <c:formatCode>0%</c:formatCode>
                <c:ptCount val="3"/>
                <c:pt idx="0">
                  <c:v>0.34934497816593885</c:v>
                </c:pt>
                <c:pt idx="1">
                  <c:v>0.33187772925764192</c:v>
                </c:pt>
                <c:pt idx="2">
                  <c:v>0.31877729257641924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3-4B10-AADE-96D6790E09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18658096"/>
        <c:axId val="418653176"/>
        <c:axId val="0"/>
      </c:bar3DChart>
      <c:catAx>
        <c:axId val="41865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AÑOS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53176"/>
        <c:crosses val="autoZero"/>
        <c:auto val="1"/>
        <c:lblAlgn val="ctr"/>
        <c:lblOffset val="100"/>
        <c:noMultiLvlLbl val="0"/>
      </c:catAx>
      <c:valAx>
        <c:axId val="41865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5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  <a:tileRect/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Hoja1!$L$15:$L$18</c:f>
              <c:strCache>
                <c:ptCount val="4"/>
                <c:pt idx="0">
                  <c:v>CEMENTO</c:v>
                </c:pt>
                <c:pt idx="1">
                  <c:v>ARENA </c:v>
                </c:pt>
                <c:pt idx="2">
                  <c:v>LADRILLO</c:v>
                </c:pt>
                <c:pt idx="3">
                  <c:v>HIERRO</c:v>
                </c:pt>
              </c:strCache>
            </c:strRef>
          </c:cat>
          <c:val>
            <c:numRef>
              <c:f>Hoja1!$M$15:$M$18</c:f>
              <c:numCache>
                <c:formatCode>0%</c:formatCode>
                <c:ptCount val="4"/>
                <c:pt idx="0">
                  <c:v>0.28093158660844253</c:v>
                </c:pt>
                <c:pt idx="1">
                  <c:v>0.19068413391557495</c:v>
                </c:pt>
                <c:pt idx="2">
                  <c:v>0.26637554585152839</c:v>
                </c:pt>
                <c:pt idx="3">
                  <c:v>0.26200873362445415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2-4790-9E84-47725CC204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18640712"/>
        <c:axId val="418634480"/>
        <c:axId val="0"/>
      </c:bar3DChart>
      <c:catAx>
        <c:axId val="418640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MATERIALES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34480"/>
        <c:crosses val="autoZero"/>
        <c:auto val="1"/>
        <c:lblAlgn val="ctr"/>
        <c:lblOffset val="100"/>
        <c:noMultiLvlLbl val="0"/>
      </c:catAx>
      <c:valAx>
        <c:axId val="4186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40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4">
            <a:lumMod val="40000"/>
            <a:lumOff val="6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2022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629615048118986"/>
          <c:y val="0.16123849515943064"/>
          <c:w val="0.81314829396325461"/>
          <c:h val="0.38212868486180446"/>
        </c:manualLayout>
      </c:layout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Hoja1!$L$26:$L$29</c:f>
              <c:strCache>
                <c:ptCount val="4"/>
                <c:pt idx="0">
                  <c:v>CEMENTO</c:v>
                </c:pt>
                <c:pt idx="1">
                  <c:v>ARENA </c:v>
                </c:pt>
                <c:pt idx="2">
                  <c:v>LADRILLO</c:v>
                </c:pt>
                <c:pt idx="3">
                  <c:v>HIERRO</c:v>
                </c:pt>
              </c:strCache>
            </c:strRef>
          </c:cat>
          <c:val>
            <c:numRef>
              <c:f>Hoja1!$M$26:$M$29</c:f>
              <c:numCache>
                <c:formatCode>0%</c:formatCode>
                <c:ptCount val="4"/>
                <c:pt idx="0">
                  <c:v>0.20833333333333334</c:v>
                </c:pt>
                <c:pt idx="1">
                  <c:v>0.10416666666666667</c:v>
                </c:pt>
                <c:pt idx="2">
                  <c:v>0.375</c:v>
                </c:pt>
                <c:pt idx="3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1-4A23-871E-DA8623644E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88899336"/>
        <c:axId val="388898024"/>
        <c:axId val="0"/>
      </c:bar3DChart>
      <c:catAx>
        <c:axId val="388899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MATERIALES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98024"/>
        <c:crosses val="autoZero"/>
        <c:auto val="1"/>
        <c:lblAlgn val="ctr"/>
        <c:lblOffset val="100"/>
        <c:noMultiLvlLbl val="0"/>
      </c:catAx>
      <c:valAx>
        <c:axId val="3888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99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  <a:tileRect/>
    </a:gradFill>
    <a:ln w="317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2023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Hoja1!$L$37:$L$40</c:f>
              <c:strCache>
                <c:ptCount val="4"/>
                <c:pt idx="0">
                  <c:v>CEMENTO</c:v>
                </c:pt>
                <c:pt idx="1">
                  <c:v>ARENA </c:v>
                </c:pt>
                <c:pt idx="2">
                  <c:v>LADRILLO</c:v>
                </c:pt>
                <c:pt idx="3">
                  <c:v>HIERRO</c:v>
                </c:pt>
              </c:strCache>
            </c:strRef>
          </c:cat>
          <c:val>
            <c:numRef>
              <c:f>Hoja1!$M$37:$M$40</c:f>
              <c:numCache>
                <c:formatCode>0%</c:formatCode>
                <c:ptCount val="4"/>
                <c:pt idx="0">
                  <c:v>0.2982456140350877</c:v>
                </c:pt>
                <c:pt idx="1">
                  <c:v>0.16228070175438597</c:v>
                </c:pt>
                <c:pt idx="2">
                  <c:v>0.15350877192982457</c:v>
                </c:pt>
                <c:pt idx="3">
                  <c:v>0.38596491228070173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A-496A-9451-71E223A0C7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89323680"/>
        <c:axId val="389324336"/>
        <c:axId val="0"/>
      </c:bar3DChart>
      <c:catAx>
        <c:axId val="38932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MATERIALES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24336"/>
        <c:crosses val="autoZero"/>
        <c:auto val="1"/>
        <c:lblAlgn val="ctr"/>
        <c:lblOffset val="100"/>
        <c:noMultiLvlLbl val="0"/>
      </c:catAx>
      <c:valAx>
        <c:axId val="3893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23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</a:gradFill>
    <a:ln w="317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629615048118986"/>
          <c:y val="0.16114483177737049"/>
          <c:w val="0.81314829396325461"/>
          <c:h val="0.36182814197182323"/>
        </c:manualLayout>
      </c:layout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Hoja1!$L$47:$L$50</c:f>
              <c:strCache>
                <c:ptCount val="4"/>
                <c:pt idx="0">
                  <c:v>CEMENTO</c:v>
                </c:pt>
                <c:pt idx="1">
                  <c:v>ARENA </c:v>
                </c:pt>
                <c:pt idx="2">
                  <c:v>LADRILLO</c:v>
                </c:pt>
                <c:pt idx="3">
                  <c:v>HIERRO</c:v>
                </c:pt>
              </c:strCache>
            </c:strRef>
          </c:cat>
          <c:val>
            <c:numRef>
              <c:f>Hoja1!$M$47:$M$50</c:f>
              <c:numCache>
                <c:formatCode>0%</c:formatCode>
                <c:ptCount val="4"/>
                <c:pt idx="0">
                  <c:v>0.34246575342465752</c:v>
                </c:pt>
                <c:pt idx="1">
                  <c:v>0.31506849315068491</c:v>
                </c:pt>
                <c:pt idx="2">
                  <c:v>0.26484018264840181</c:v>
                </c:pt>
                <c:pt idx="3">
                  <c:v>7.7625570776255703E-2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B-40ED-9C19-1585F17170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04309032"/>
        <c:axId val="404310672"/>
        <c:axId val="0"/>
      </c:bar3DChart>
      <c:catAx>
        <c:axId val="404309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MATERIALES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10672"/>
        <c:crosses val="autoZero"/>
        <c:auto val="1"/>
        <c:lblAlgn val="ctr"/>
        <c:lblOffset val="100"/>
        <c:noMultiLvlLbl val="0"/>
      </c:catAx>
      <c:valAx>
        <c:axId val="40431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090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</a:gradFill>
    <a:ln w="285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PORCENTAJE DE COMPRA DE MATERIALES EN 3 AÑOS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Hoja1!$B$21</c:f>
              <c:strCache>
                <c:ptCount val="1"/>
                <c:pt idx="0">
                  <c:v>CEMENTO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Hoja1!$C$21:$E$21</c:f>
              <c:numCache>
                <c:formatCode>0%</c:formatCode>
                <c:ptCount val="3"/>
                <c:pt idx="0">
                  <c:v>0.20833333333333334</c:v>
                </c:pt>
                <c:pt idx="1">
                  <c:v>0.2982456140350877</c:v>
                </c:pt>
                <c:pt idx="2">
                  <c:v>0.2982456140350877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4-42FC-A1DA-BE9424C3928F}"/>
            </c:ext>
          </c:extLst>
        </c:ser>
        <c:ser>
          <c:idx val="1"/>
          <c:order val="1"/>
          <c:tx>
            <c:strRef>
              <c:f>Hoja1!$B$22</c:f>
              <c:strCache>
                <c:ptCount val="1"/>
                <c:pt idx="0">
                  <c:v>ARENA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Hoja1!$C$22:$E$22</c:f>
              <c:numCache>
                <c:formatCode>0%</c:formatCode>
                <c:ptCount val="3"/>
                <c:pt idx="0">
                  <c:v>0.10416666666666667</c:v>
                </c:pt>
                <c:pt idx="1">
                  <c:v>0.16228070175438597</c:v>
                </c:pt>
                <c:pt idx="2">
                  <c:v>0.16228070175438597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34-42FC-A1DA-BE9424C3928F}"/>
            </c:ext>
          </c:extLst>
        </c:ser>
        <c:ser>
          <c:idx val="2"/>
          <c:order val="2"/>
          <c:tx>
            <c:strRef>
              <c:f>Hoja1!$B$23</c:f>
              <c:strCache>
                <c:ptCount val="1"/>
                <c:pt idx="0">
                  <c:v>LADRILLO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Hoja1!$C$23:$E$23</c:f>
              <c:numCache>
                <c:formatCode>0%</c:formatCode>
                <c:ptCount val="3"/>
                <c:pt idx="0">
                  <c:v>0.375</c:v>
                </c:pt>
                <c:pt idx="1">
                  <c:v>0.15350877192982457</c:v>
                </c:pt>
                <c:pt idx="2">
                  <c:v>0.15350877192982457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4-42FC-A1DA-BE9424C3928F}"/>
            </c:ext>
          </c:extLst>
        </c:ser>
        <c:ser>
          <c:idx val="3"/>
          <c:order val="3"/>
          <c:tx>
            <c:strRef>
              <c:f>Hoja1!$B$24</c:f>
              <c:strCache>
                <c:ptCount val="1"/>
                <c:pt idx="0">
                  <c:v>HIERRO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Hoja1!$C$24:$E$24</c:f>
              <c:numCache>
                <c:formatCode>0%</c:formatCode>
                <c:ptCount val="3"/>
                <c:pt idx="0">
                  <c:v>0.3125</c:v>
                </c:pt>
                <c:pt idx="1">
                  <c:v>0.38596491228070173</c:v>
                </c:pt>
                <c:pt idx="2">
                  <c:v>0.38596491228070173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34-42FC-A1DA-BE9424C392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97310120"/>
        <c:axId val="397308808"/>
        <c:axId val="0"/>
      </c:bar3DChart>
      <c:catAx>
        <c:axId val="397310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AÑOS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08808"/>
        <c:crosses val="autoZero"/>
        <c:auto val="1"/>
        <c:lblAlgn val="ctr"/>
        <c:lblOffset val="100"/>
        <c:noMultiLvlLbl val="0"/>
      </c:catAx>
      <c:valAx>
        <c:axId val="39730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1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</a:gradFill>
    <a:ln w="317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00481189851273E-2"/>
          <c:y val="0.17171296296296298"/>
          <c:w val="0.87232174103237092"/>
          <c:h val="0.6149843248760571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Hoja1!$B$21</c:f>
              <c:strCache>
                <c:ptCount val="1"/>
                <c:pt idx="0">
                  <c:v>CEMENTO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Hoja1!$C$21:$E$21</c:f>
              <c:numCache>
                <c:formatCode>0%</c:formatCode>
                <c:ptCount val="3"/>
                <c:pt idx="0">
                  <c:v>0.20833333333333334</c:v>
                </c:pt>
                <c:pt idx="1">
                  <c:v>0.2982456140350877</c:v>
                </c:pt>
                <c:pt idx="2">
                  <c:v>0.2982456140350877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8-4AAA-A0B1-E763E505AEE7}"/>
            </c:ext>
          </c:extLst>
        </c:ser>
        <c:ser>
          <c:idx val="1"/>
          <c:order val="1"/>
          <c:tx>
            <c:strRef>
              <c:f>Hoja1!$B$22</c:f>
              <c:strCache>
                <c:ptCount val="1"/>
                <c:pt idx="0">
                  <c:v>ARENA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Hoja1!$C$22:$E$22</c:f>
              <c:numCache>
                <c:formatCode>0%</c:formatCode>
                <c:ptCount val="3"/>
                <c:pt idx="0">
                  <c:v>0.10416666666666667</c:v>
                </c:pt>
                <c:pt idx="1">
                  <c:v>0.16228070175438597</c:v>
                </c:pt>
                <c:pt idx="2">
                  <c:v>0.16228070175438597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8-4AAA-A0B1-E763E505AEE7}"/>
            </c:ext>
          </c:extLst>
        </c:ser>
        <c:ser>
          <c:idx val="2"/>
          <c:order val="2"/>
          <c:tx>
            <c:strRef>
              <c:f>Hoja1!$B$23</c:f>
              <c:strCache>
                <c:ptCount val="1"/>
                <c:pt idx="0">
                  <c:v>LADRILLO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Hoja1!$C$23:$E$23</c:f>
              <c:numCache>
                <c:formatCode>0%</c:formatCode>
                <c:ptCount val="3"/>
                <c:pt idx="0">
                  <c:v>0.375</c:v>
                </c:pt>
                <c:pt idx="1">
                  <c:v>0.15350877192982457</c:v>
                </c:pt>
                <c:pt idx="2">
                  <c:v>0.15350877192982457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8-4AAA-A0B1-E763E505AEE7}"/>
            </c:ext>
          </c:extLst>
        </c:ser>
        <c:ser>
          <c:idx val="3"/>
          <c:order val="3"/>
          <c:tx>
            <c:strRef>
              <c:f>Hoja1!$B$24</c:f>
              <c:strCache>
                <c:ptCount val="1"/>
                <c:pt idx="0">
                  <c:v>HIERRO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Hoja1!$C$24:$E$24</c:f>
              <c:numCache>
                <c:formatCode>0%</c:formatCode>
                <c:ptCount val="3"/>
                <c:pt idx="0">
                  <c:v>0.3125</c:v>
                </c:pt>
                <c:pt idx="1">
                  <c:v>0.38596491228070173</c:v>
                </c:pt>
                <c:pt idx="2">
                  <c:v>0.38596491228070173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78-4AAA-A0B1-E763E505AE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3409512"/>
        <c:axId val="403406560"/>
      </c:barChart>
      <c:catAx>
        <c:axId val="403409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3406560"/>
        <c:crosses val="autoZero"/>
        <c:auto val="1"/>
        <c:lblAlgn val="ctr"/>
        <c:lblOffset val="100"/>
        <c:noMultiLvlLbl val="0"/>
      </c:catAx>
      <c:valAx>
        <c:axId val="4034065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40340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</a:gradFill>
    <a:ln w="317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Hoja1!$L$4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Hoja1!$M$3</c:f>
              <c:strCache>
                <c:ptCount val="1"/>
                <c:pt idx="0">
                  <c:v>PORCENTAJE</c:v>
                </c:pt>
              </c:strCache>
            </c:strRef>
          </c:cat>
          <c:val>
            <c:numRef>
              <c:f>Hoja1!$M$4</c:f>
              <c:numCache>
                <c:formatCode>0%</c:formatCode>
                <c:ptCount val="1"/>
                <c:pt idx="0">
                  <c:v>0.34934497816593885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B-4FA7-A977-0F071362D75C}"/>
            </c:ext>
          </c:extLst>
        </c:ser>
        <c:ser>
          <c:idx val="1"/>
          <c:order val="1"/>
          <c:tx>
            <c:strRef>
              <c:f>Hoja1!$L$5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Hoja1!$M$3</c:f>
              <c:strCache>
                <c:ptCount val="1"/>
                <c:pt idx="0">
                  <c:v>PORCENTAJE</c:v>
                </c:pt>
              </c:strCache>
            </c:strRef>
          </c:cat>
          <c:val>
            <c:numRef>
              <c:f>Hoja1!$M$5</c:f>
              <c:numCache>
                <c:formatCode>0%</c:formatCode>
                <c:ptCount val="1"/>
                <c:pt idx="0">
                  <c:v>0.33187772925764192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B-4FA7-A977-0F071362D75C}"/>
            </c:ext>
          </c:extLst>
        </c:ser>
        <c:ser>
          <c:idx val="2"/>
          <c:order val="2"/>
          <c:tx>
            <c:strRef>
              <c:f>Hoja1!$L$6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Hoja1!$M$3</c:f>
              <c:strCache>
                <c:ptCount val="1"/>
                <c:pt idx="0">
                  <c:v>PORCENTAJE</c:v>
                </c:pt>
              </c:strCache>
            </c:strRef>
          </c:cat>
          <c:val>
            <c:numRef>
              <c:f>Hoja1!$M$6</c:f>
              <c:numCache>
                <c:formatCode>0%</c:formatCode>
                <c:ptCount val="1"/>
                <c:pt idx="0">
                  <c:v>0.31877729257641924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2B-4FA7-A977-0F071362D7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64984024"/>
        <c:axId val="464986976"/>
      </c:barChart>
      <c:catAx>
        <c:axId val="464984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86976"/>
        <c:crosses val="autoZero"/>
        <c:auto val="1"/>
        <c:lblAlgn val="ctr"/>
        <c:lblOffset val="100"/>
        <c:noMultiLvlLbl val="0"/>
      </c:catAx>
      <c:valAx>
        <c:axId val="46498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84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</a:gradFill>
    <a:ln w="285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3.png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180975</xdr:colOff>
      <xdr:row>1</xdr:row>
      <xdr:rowOff>152400</xdr:rowOff>
    </xdr:from>
    <xdr:to>
      <xdr:col>19</xdr:col>
      <xdr:colOff>180975</xdr:colOff>
      <xdr:row>11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180975</xdr:colOff>
      <xdr:row>13</xdr:row>
      <xdr:rowOff>171451</xdr:rowOff>
    </xdr:from>
    <xdr:to>
      <xdr:col>19</xdr:col>
      <xdr:colOff>180975</xdr:colOff>
      <xdr:row>23</xdr:row>
      <xdr:rowOff>104776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163287</xdr:colOff>
      <xdr:row>24</xdr:row>
      <xdr:rowOff>193222</xdr:rowOff>
    </xdr:from>
    <xdr:to>
      <xdr:col>19</xdr:col>
      <xdr:colOff>186614</xdr:colOff>
      <xdr:row>34</xdr:row>
      <xdr:rowOff>48596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182725</xdr:colOff>
      <xdr:row>35</xdr:row>
      <xdr:rowOff>47431</xdr:rowOff>
    </xdr:from>
    <xdr:to>
      <xdr:col>19</xdr:col>
      <xdr:colOff>206052</xdr:colOff>
      <xdr:row>44</xdr:row>
      <xdr:rowOff>174950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192444</xdr:colOff>
      <xdr:row>45</xdr:row>
      <xdr:rowOff>144624</xdr:rowOff>
    </xdr:from>
    <xdr:to>
      <xdr:col>19</xdr:col>
      <xdr:colOff>215771</xdr:colOff>
      <xdr:row>54</xdr:row>
      <xdr:rowOff>116633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283630</xdr:colOff>
      <xdr:row>24</xdr:row>
      <xdr:rowOff>111933</xdr:rowOff>
    </xdr:from>
    <xdr:to>
      <xdr:col>10</xdr:col>
      <xdr:colOff>448860</xdr:colOff>
      <xdr:row>49</xdr:row>
      <xdr:rowOff>51248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349898</xdr:colOff>
      <xdr:row>51</xdr:row>
      <xdr:rowOff>115466</xdr:rowOff>
    </xdr:from>
    <xdr:to>
      <xdr:col>10</xdr:col>
      <xdr:colOff>524847</xdr:colOff>
      <xdr:row>65</xdr:row>
      <xdr:rowOff>137238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474306</xdr:colOff>
      <xdr:row>1</xdr:row>
      <xdr:rowOff>145791</xdr:rowOff>
    </xdr:from>
    <xdr:to>
      <xdr:col>25</xdr:col>
      <xdr:colOff>497633</xdr:colOff>
      <xdr:row>11</xdr:row>
      <xdr:rowOff>174949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13</xdr:col>
      <xdr:colOff>49481</xdr:colOff>
      <xdr:row>65</xdr:row>
      <xdr:rowOff>12369</xdr:rowOff>
    </xdr:from>
    <xdr:to>
      <xdr:col>14</xdr:col>
      <xdr:colOff>531916</xdr:colOff>
      <xdr:row>76</xdr:row>
      <xdr:rowOff>148441</xdr:rowOff>
    </xdr:to>
    <xdr:pic>
      <xdr:nvPicPr>
        <xdr:cNvPr id="29" name="Imagen 2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069286" y="12308278"/>
          <a:ext cx="1249383" cy="2177144"/>
        </a:xfrm>
        <a:prstGeom prst="rect">
          <a:avLst/>
        </a:prstGeom>
      </xdr:spPr>
    </xdr:pic>
    <xdr:clientData/>
  </xdr:twoCellAnchor>
  <xdr:twoCellAnchor editAs="oneCell">
    <xdr:from>
      <xdr:col>14</xdr:col>
      <xdr:colOff>544284</xdr:colOff>
      <xdr:row>64</xdr:row>
      <xdr:rowOff>173181</xdr:rowOff>
    </xdr:from>
    <xdr:to>
      <xdr:col>16</xdr:col>
      <xdr:colOff>309253</xdr:colOff>
      <xdr:row>76</xdr:row>
      <xdr:rowOff>148441</xdr:rowOff>
    </xdr:to>
    <xdr:pic>
      <xdr:nvPicPr>
        <xdr:cNvPr id="31" name="Imagen 3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331037" y="12283538"/>
          <a:ext cx="1298865" cy="2201884"/>
        </a:xfrm>
        <a:prstGeom prst="rect">
          <a:avLst/>
        </a:prstGeom>
      </xdr:spPr>
    </xdr:pic>
    <xdr:clientData/>
  </xdr:twoCellAnchor>
  <xdr:twoCellAnchor editAs="oneCell">
    <xdr:from>
      <xdr:col>16</xdr:col>
      <xdr:colOff>321624</xdr:colOff>
      <xdr:row>64</xdr:row>
      <xdr:rowOff>173181</xdr:rowOff>
    </xdr:from>
    <xdr:to>
      <xdr:col>18</xdr:col>
      <xdr:colOff>0</xdr:colOff>
      <xdr:row>76</xdr:row>
      <xdr:rowOff>136070</xdr:rowOff>
    </xdr:to>
    <xdr:pic>
      <xdr:nvPicPr>
        <xdr:cNvPr id="32" name="Imagen 3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642273" y="12283538"/>
          <a:ext cx="1212272" cy="2189513"/>
        </a:xfrm>
        <a:prstGeom prst="rect">
          <a:avLst/>
        </a:prstGeom>
      </xdr:spPr>
    </xdr:pic>
    <xdr:clientData/>
  </xdr:twoCellAnchor>
  <xdr:twoCellAnchor editAs="oneCell">
    <xdr:from>
      <xdr:col>13</xdr:col>
      <xdr:colOff>24739</xdr:colOff>
      <xdr:row>57</xdr:row>
      <xdr:rowOff>75287</xdr:rowOff>
    </xdr:from>
    <xdr:to>
      <xdr:col>18</xdr:col>
      <xdr:colOff>24740</xdr:colOff>
      <xdr:row>64</xdr:row>
      <xdr:rowOff>173182</xdr:rowOff>
    </xdr:to>
    <xdr:pic>
      <xdr:nvPicPr>
        <xdr:cNvPr id="33" name="Imagen 3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263536" y="9667789"/>
          <a:ext cx="1396758" cy="3834741"/>
        </a:xfrm>
        <a:prstGeom prst="rect">
          <a:avLst/>
        </a:prstGeom>
      </xdr:spPr>
    </xdr:pic>
    <xdr:clientData/>
  </xdr:twoCellAnchor>
  <xdr:twoCellAnchor>
    <xdr:from>
      <xdr:col>13</xdr:col>
      <xdr:colOff>49481</xdr:colOff>
      <xdr:row>57</xdr:row>
      <xdr:rowOff>74220</xdr:rowOff>
    </xdr:from>
    <xdr:to>
      <xdr:col>18</xdr:col>
      <xdr:colOff>12371</xdr:colOff>
      <xdr:row>57</xdr:row>
      <xdr:rowOff>86590</xdr:rowOff>
    </xdr:to>
    <xdr:cxnSp macro="">
      <xdr:nvCxnSpPr>
        <xdr:cNvPr id="35" name="Conector recto 34"/>
        <xdr:cNvCxnSpPr/>
      </xdr:nvCxnSpPr>
      <xdr:spPr>
        <a:xfrm>
          <a:off x="10069286" y="10885714"/>
          <a:ext cx="3797630" cy="1237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24740</xdr:colOff>
      <xdr:row>57</xdr:row>
      <xdr:rowOff>98961</xdr:rowOff>
    </xdr:from>
    <xdr:to>
      <xdr:col>13</xdr:col>
      <xdr:colOff>49481</xdr:colOff>
      <xdr:row>76</xdr:row>
      <xdr:rowOff>148441</xdr:rowOff>
    </xdr:to>
    <xdr:cxnSp macro="">
      <xdr:nvCxnSpPr>
        <xdr:cNvPr id="37" name="Conector recto 36"/>
        <xdr:cNvCxnSpPr/>
      </xdr:nvCxnSpPr>
      <xdr:spPr>
        <a:xfrm>
          <a:off x="10044545" y="10910455"/>
          <a:ext cx="24741" cy="3574967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754578</xdr:colOff>
      <xdr:row>57</xdr:row>
      <xdr:rowOff>111331</xdr:rowOff>
    </xdr:from>
    <xdr:to>
      <xdr:col>18</xdr:col>
      <xdr:colOff>0</xdr:colOff>
      <xdr:row>76</xdr:row>
      <xdr:rowOff>136071</xdr:rowOff>
    </xdr:to>
    <xdr:cxnSp macro="">
      <xdr:nvCxnSpPr>
        <xdr:cNvPr id="39" name="Conector recto 38"/>
        <xdr:cNvCxnSpPr/>
      </xdr:nvCxnSpPr>
      <xdr:spPr>
        <a:xfrm flipH="1">
          <a:off x="13842175" y="10922825"/>
          <a:ext cx="12370" cy="3550227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49481</xdr:colOff>
      <xdr:row>76</xdr:row>
      <xdr:rowOff>123701</xdr:rowOff>
    </xdr:from>
    <xdr:to>
      <xdr:col>18</xdr:col>
      <xdr:colOff>12371</xdr:colOff>
      <xdr:row>76</xdr:row>
      <xdr:rowOff>160811</xdr:rowOff>
    </xdr:to>
    <xdr:cxnSp macro="">
      <xdr:nvCxnSpPr>
        <xdr:cNvPr id="41" name="Conector recto 40"/>
        <xdr:cNvCxnSpPr/>
      </xdr:nvCxnSpPr>
      <xdr:spPr>
        <a:xfrm flipV="1">
          <a:off x="10069286" y="14460682"/>
          <a:ext cx="3797630" cy="3711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148442</xdr:colOff>
      <xdr:row>56</xdr:row>
      <xdr:rowOff>61850</xdr:rowOff>
    </xdr:from>
    <xdr:to>
      <xdr:col>19</xdr:col>
      <xdr:colOff>754577</xdr:colOff>
      <xdr:row>80</xdr:row>
      <xdr:rowOff>12370</xdr:rowOff>
    </xdr:to>
    <xdr:pic>
      <xdr:nvPicPr>
        <xdr:cNvPr id="42" name="Imagen 4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351819" y="10687792"/>
          <a:ext cx="6024252" cy="4403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abSelected="1" zoomScale="62" zoomScaleNormal="62" workbookViewId="0">
      <selection activeCell="U16" sqref="U16"/>
    </sheetView>
  </sheetViews>
  <sheetFormatPr baseColWidth="10" defaultRowHeight="15" x14ac:dyDescent="0.25"/>
  <cols>
    <col min="13" max="13" width="12.28515625" bestFit="1" customWidth="1"/>
  </cols>
  <sheetData>
    <row r="1" spans="1:20" x14ac:dyDescent="0.25">
      <c r="C1" s="92" t="s">
        <v>7</v>
      </c>
      <c r="D1" s="93"/>
      <c r="E1" s="93"/>
      <c r="F1" s="93"/>
      <c r="G1" s="93"/>
      <c r="H1" s="94"/>
    </row>
    <row r="2" spans="1:20" ht="15.75" thickBot="1" x14ac:dyDescent="0.3">
      <c r="A2" s="1"/>
      <c r="C2" s="95"/>
      <c r="D2" s="96"/>
      <c r="E2" s="96"/>
      <c r="F2" s="96"/>
      <c r="G2" s="96"/>
      <c r="H2" s="97"/>
    </row>
    <row r="3" spans="1:20" ht="15.75" thickBot="1" x14ac:dyDescent="0.3">
      <c r="B3" s="110"/>
      <c r="C3" s="112" t="s">
        <v>0</v>
      </c>
      <c r="D3" s="113"/>
      <c r="E3" s="113"/>
      <c r="F3" s="113"/>
      <c r="G3" s="113"/>
      <c r="H3" s="114"/>
      <c r="I3" s="106" t="s">
        <v>5</v>
      </c>
      <c r="J3" s="108" t="s">
        <v>6</v>
      </c>
      <c r="L3" s="9" t="s">
        <v>0</v>
      </c>
      <c r="M3" s="10" t="s">
        <v>9</v>
      </c>
    </row>
    <row r="4" spans="1:20" ht="16.5" thickBot="1" x14ac:dyDescent="0.3">
      <c r="B4" s="111"/>
      <c r="C4" s="102">
        <v>2022</v>
      </c>
      <c r="D4" s="103"/>
      <c r="E4" s="104">
        <v>2023</v>
      </c>
      <c r="F4" s="105"/>
      <c r="G4" s="104">
        <v>2024</v>
      </c>
      <c r="H4" s="105"/>
      <c r="I4" s="107"/>
      <c r="J4" s="109"/>
      <c r="L4" s="11">
        <v>2022</v>
      </c>
      <c r="M4" s="12">
        <f>C15</f>
        <v>0.34934497816593885</v>
      </c>
    </row>
    <row r="5" spans="1:20" x14ac:dyDescent="0.25">
      <c r="A5" s="60" t="s">
        <v>8</v>
      </c>
      <c r="B5" s="100" t="s">
        <v>2</v>
      </c>
      <c r="C5" s="16">
        <v>50</v>
      </c>
      <c r="D5" s="17">
        <f>C5/I5</f>
        <v>0.25906735751295334</v>
      </c>
      <c r="E5" s="16">
        <v>68</v>
      </c>
      <c r="F5" s="17">
        <f>E5/I5</f>
        <v>0.35233160621761656</v>
      </c>
      <c r="G5" s="18">
        <v>75</v>
      </c>
      <c r="H5" s="17">
        <f>G5/I5</f>
        <v>0.38860103626943004</v>
      </c>
      <c r="I5" s="85">
        <f>C5+E5+G5</f>
        <v>193</v>
      </c>
      <c r="J5" s="86">
        <f>I5/I13</f>
        <v>0.28093158660844253</v>
      </c>
      <c r="L5" s="11">
        <v>2023</v>
      </c>
      <c r="M5" s="12">
        <f>E15</f>
        <v>0.33187772925764192</v>
      </c>
    </row>
    <row r="6" spans="1:20" ht="15.75" thickBot="1" x14ac:dyDescent="0.3">
      <c r="A6" s="61"/>
      <c r="B6" s="101"/>
      <c r="C6" s="19">
        <f>C5/C13</f>
        <v>0.20833333333333334</v>
      </c>
      <c r="D6" s="20" t="s">
        <v>11</v>
      </c>
      <c r="E6" s="19">
        <f>E5/E13</f>
        <v>0.2982456140350877</v>
      </c>
      <c r="F6" s="20" t="s">
        <v>11</v>
      </c>
      <c r="G6" s="21">
        <f>G5/G13</f>
        <v>0.34246575342465752</v>
      </c>
      <c r="H6" s="20" t="s">
        <v>11</v>
      </c>
      <c r="I6" s="85"/>
      <c r="J6" s="86"/>
      <c r="L6" s="13">
        <v>2024</v>
      </c>
      <c r="M6" s="14">
        <f>G15</f>
        <v>0.31877729257641924</v>
      </c>
    </row>
    <row r="7" spans="1:20" x14ac:dyDescent="0.25">
      <c r="A7" s="61"/>
      <c r="B7" s="98" t="s">
        <v>3</v>
      </c>
      <c r="C7" s="22">
        <v>25</v>
      </c>
      <c r="D7" s="23">
        <f>C7/I7</f>
        <v>0.19083969465648856</v>
      </c>
      <c r="E7" s="22">
        <v>37</v>
      </c>
      <c r="F7" s="23">
        <f>E7/I7</f>
        <v>0.28244274809160308</v>
      </c>
      <c r="G7" s="24">
        <v>69</v>
      </c>
      <c r="H7" s="23">
        <f>G7/I7</f>
        <v>0.52671755725190839</v>
      </c>
      <c r="I7" s="85">
        <f>C7+E7+G7</f>
        <v>131</v>
      </c>
      <c r="J7" s="86">
        <f>I7/I13</f>
        <v>0.19068413391557495</v>
      </c>
    </row>
    <row r="8" spans="1:20" ht="15.75" thickBot="1" x14ac:dyDescent="0.3">
      <c r="A8" s="61"/>
      <c r="B8" s="99"/>
      <c r="C8" s="25">
        <f>C7/C13</f>
        <v>0.10416666666666667</v>
      </c>
      <c r="D8" s="26" t="s">
        <v>11</v>
      </c>
      <c r="E8" s="25">
        <f>E7/E13</f>
        <v>0.16228070175438597</v>
      </c>
      <c r="F8" s="26" t="s">
        <v>11</v>
      </c>
      <c r="G8" s="27">
        <f>G7/G13</f>
        <v>0.31506849315068491</v>
      </c>
      <c r="H8" s="26" t="s">
        <v>11</v>
      </c>
      <c r="I8" s="85"/>
      <c r="J8" s="86"/>
    </row>
    <row r="9" spans="1:20" x14ac:dyDescent="0.25">
      <c r="A9" s="61"/>
      <c r="B9" s="83" t="s">
        <v>1</v>
      </c>
      <c r="C9" s="28">
        <v>90</v>
      </c>
      <c r="D9" s="29">
        <f>C9/I9</f>
        <v>0.49180327868852458</v>
      </c>
      <c r="E9" s="28">
        <v>35</v>
      </c>
      <c r="F9" s="29">
        <f>E9/I9</f>
        <v>0.19125683060109289</v>
      </c>
      <c r="G9" s="30">
        <v>58</v>
      </c>
      <c r="H9" s="29">
        <f>G9/I9</f>
        <v>0.31693989071038253</v>
      </c>
      <c r="I9" s="85">
        <f>C9+E9+G9</f>
        <v>183</v>
      </c>
      <c r="J9" s="86">
        <f>I9/I13</f>
        <v>0.26637554585152839</v>
      </c>
    </row>
    <row r="10" spans="1:20" ht="15.75" thickBot="1" x14ac:dyDescent="0.3">
      <c r="A10" s="61"/>
      <c r="B10" s="84"/>
      <c r="C10" s="31">
        <f>C9/C13</f>
        <v>0.375</v>
      </c>
      <c r="D10" s="32" t="s">
        <v>11</v>
      </c>
      <c r="E10" s="31">
        <f>E9/E13</f>
        <v>0.15350877192982457</v>
      </c>
      <c r="F10" s="32" t="s">
        <v>11</v>
      </c>
      <c r="G10" s="33">
        <f>G9/G13</f>
        <v>0.26484018264840181</v>
      </c>
      <c r="H10" s="32" t="s">
        <v>11</v>
      </c>
      <c r="I10" s="85"/>
      <c r="J10" s="86"/>
      <c r="K10" s="54"/>
      <c r="L10" s="54"/>
      <c r="M10" s="54"/>
      <c r="N10" s="54"/>
      <c r="T10" s="54"/>
    </row>
    <row r="11" spans="1:20" x14ac:dyDescent="0.25">
      <c r="A11" s="61"/>
      <c r="B11" s="87" t="s">
        <v>4</v>
      </c>
      <c r="C11" s="34">
        <v>75</v>
      </c>
      <c r="D11" s="35">
        <f>C11/I11</f>
        <v>0.41666666666666669</v>
      </c>
      <c r="E11" s="34">
        <v>88</v>
      </c>
      <c r="F11" s="35">
        <f>E11/I11</f>
        <v>0.48888888888888887</v>
      </c>
      <c r="G11" s="36">
        <v>17</v>
      </c>
      <c r="H11" s="35">
        <f>G11/I11</f>
        <v>9.4444444444444442E-2</v>
      </c>
      <c r="I11" s="85">
        <f>C11+E11+G11</f>
        <v>180</v>
      </c>
      <c r="J11" s="86">
        <f>I11/I13</f>
        <v>0.26200873362445415</v>
      </c>
      <c r="K11" s="54"/>
    </row>
    <row r="12" spans="1:20" ht="15.75" thickBot="1" x14ac:dyDescent="0.3">
      <c r="A12" s="62"/>
      <c r="B12" s="88"/>
      <c r="C12" s="37">
        <f>C11/C13</f>
        <v>0.3125</v>
      </c>
      <c r="D12" s="38" t="s">
        <v>11</v>
      </c>
      <c r="E12" s="37">
        <f>E11/E13</f>
        <v>0.38596491228070173</v>
      </c>
      <c r="F12" s="38" t="s">
        <v>11</v>
      </c>
      <c r="G12" s="39">
        <f>G11/G13</f>
        <v>7.7625570776255703E-2</v>
      </c>
      <c r="H12" s="38" t="s">
        <v>11</v>
      </c>
      <c r="I12" s="85"/>
      <c r="J12" s="86"/>
      <c r="K12" s="54"/>
    </row>
    <row r="13" spans="1:20" x14ac:dyDescent="0.25">
      <c r="B13" s="77" t="s">
        <v>5</v>
      </c>
      <c r="C13" s="79">
        <f>C5+C7+C9+C11</f>
        <v>240</v>
      </c>
      <c r="D13" s="65"/>
      <c r="E13" s="79">
        <f>E5+E7+E9+E11</f>
        <v>228</v>
      </c>
      <c r="F13" s="65"/>
      <c r="G13" s="81">
        <f>G5+G7+G9+G11</f>
        <v>219</v>
      </c>
      <c r="H13" s="65"/>
      <c r="I13" s="85">
        <f>SUM(C13:H13)</f>
        <v>687</v>
      </c>
      <c r="J13" s="90">
        <f>J5+J7+J9+J11</f>
        <v>1</v>
      </c>
      <c r="K13" s="54"/>
    </row>
    <row r="14" spans="1:20" ht="15.75" thickBot="1" x14ac:dyDescent="0.3">
      <c r="B14" s="78"/>
      <c r="C14" s="80"/>
      <c r="D14" s="66"/>
      <c r="E14" s="80"/>
      <c r="F14" s="66"/>
      <c r="G14" s="82"/>
      <c r="H14" s="66"/>
      <c r="I14" s="89"/>
      <c r="J14" s="91"/>
      <c r="K14" s="54"/>
    </row>
    <row r="15" spans="1:20" x14ac:dyDescent="0.25">
      <c r="B15" s="67" t="s">
        <v>6</v>
      </c>
      <c r="C15" s="69">
        <f>C13/I13</f>
        <v>0.34934497816593885</v>
      </c>
      <c r="D15" s="71"/>
      <c r="E15" s="69">
        <f>E13/I13</f>
        <v>0.33187772925764192</v>
      </c>
      <c r="F15" s="71"/>
      <c r="G15" s="73">
        <f>G13/I13</f>
        <v>0.31877729257641924</v>
      </c>
      <c r="H15" s="75"/>
      <c r="I15" s="63">
        <f>C15+E15+G15</f>
        <v>1</v>
      </c>
      <c r="K15" s="54"/>
      <c r="L15" s="9" t="s">
        <v>2</v>
      </c>
      <c r="M15" s="15">
        <f>J5</f>
        <v>0.28093158660844253</v>
      </c>
    </row>
    <row r="16" spans="1:20" ht="15.75" thickBot="1" x14ac:dyDescent="0.3">
      <c r="B16" s="68"/>
      <c r="C16" s="70"/>
      <c r="D16" s="72"/>
      <c r="E16" s="70"/>
      <c r="F16" s="72"/>
      <c r="G16" s="74"/>
      <c r="H16" s="76"/>
      <c r="I16" s="64"/>
      <c r="K16" s="54"/>
      <c r="L16" s="11" t="s">
        <v>10</v>
      </c>
      <c r="M16" s="12">
        <f>J7</f>
        <v>0.19068413391557495</v>
      </c>
    </row>
    <row r="17" spans="2:13" ht="15.75" thickBot="1" x14ac:dyDescent="0.3">
      <c r="C17" s="56" t="s">
        <v>12</v>
      </c>
      <c r="D17" s="55"/>
      <c r="E17" s="56" t="s">
        <v>12</v>
      </c>
      <c r="F17" s="55"/>
      <c r="G17" s="56" t="s">
        <v>12</v>
      </c>
      <c r="H17" s="54"/>
      <c r="I17" s="54"/>
      <c r="J17" s="54"/>
      <c r="K17" s="54"/>
      <c r="L17" s="11" t="s">
        <v>1</v>
      </c>
      <c r="M17" s="12">
        <f>J9</f>
        <v>0.26637554585152839</v>
      </c>
    </row>
    <row r="18" spans="2:13" ht="15.75" thickBot="1" x14ac:dyDescent="0.3">
      <c r="L18" s="13" t="s">
        <v>4</v>
      </c>
      <c r="M18" s="14">
        <f>J11</f>
        <v>0.26200873362445415</v>
      </c>
    </row>
    <row r="19" spans="2:13" ht="15.75" thickBot="1" x14ac:dyDescent="0.3">
      <c r="C19" s="2"/>
    </row>
    <row r="20" spans="2:13" ht="15.75" thickBot="1" x14ac:dyDescent="0.3">
      <c r="C20" s="57">
        <v>2022</v>
      </c>
      <c r="D20" s="58">
        <v>2023</v>
      </c>
      <c r="E20" s="59">
        <v>2024</v>
      </c>
    </row>
    <row r="21" spans="2:13" x14ac:dyDescent="0.25">
      <c r="B21" s="40" t="s">
        <v>2</v>
      </c>
      <c r="C21" s="41">
        <v>0.20833333333333334</v>
      </c>
      <c r="D21" s="46">
        <v>0.2982456140350877</v>
      </c>
      <c r="E21" s="47">
        <v>0.2982456140350877</v>
      </c>
    </row>
    <row r="22" spans="2:13" x14ac:dyDescent="0.25">
      <c r="B22" s="42" t="s">
        <v>10</v>
      </c>
      <c r="C22" s="43">
        <v>0.10416666666666667</v>
      </c>
      <c r="D22" s="48">
        <v>0.16228070175438597</v>
      </c>
      <c r="E22" s="49">
        <v>0.16228070175438597</v>
      </c>
      <c r="F22" s="52"/>
      <c r="G22" s="52"/>
    </row>
    <row r="23" spans="2:13" x14ac:dyDescent="0.25">
      <c r="B23" s="42" t="s">
        <v>1</v>
      </c>
      <c r="C23" s="43">
        <v>0.375</v>
      </c>
      <c r="D23" s="48">
        <v>0.15350877192982457</v>
      </c>
      <c r="E23" s="49">
        <v>0.15350877192982457</v>
      </c>
      <c r="G23" s="53"/>
    </row>
    <row r="24" spans="2:13" ht="15.75" thickBot="1" x14ac:dyDescent="0.3">
      <c r="B24" s="44" t="s">
        <v>4</v>
      </c>
      <c r="C24" s="45">
        <v>0.3125</v>
      </c>
      <c r="D24" s="50">
        <v>0.38596491228070173</v>
      </c>
      <c r="E24" s="51">
        <v>0.38596491228070173</v>
      </c>
      <c r="G24" s="53"/>
    </row>
    <row r="25" spans="2:13" ht="15.75" thickBot="1" x14ac:dyDescent="0.3">
      <c r="G25" s="53"/>
    </row>
    <row r="26" spans="2:13" x14ac:dyDescent="0.25">
      <c r="L26" s="3" t="s">
        <v>2</v>
      </c>
      <c r="M26" s="4">
        <f>C6</f>
        <v>0.20833333333333334</v>
      </c>
    </row>
    <row r="27" spans="2:13" x14ac:dyDescent="0.25">
      <c r="L27" s="5" t="s">
        <v>10</v>
      </c>
      <c r="M27" s="6">
        <f>C8</f>
        <v>0.10416666666666667</v>
      </c>
    </row>
    <row r="28" spans="2:13" x14ac:dyDescent="0.25">
      <c r="L28" s="5" t="s">
        <v>1</v>
      </c>
      <c r="M28" s="6">
        <f>C10</f>
        <v>0.375</v>
      </c>
    </row>
    <row r="29" spans="2:13" ht="15.75" thickBot="1" x14ac:dyDescent="0.3">
      <c r="L29" s="7" t="s">
        <v>4</v>
      </c>
      <c r="M29" s="8">
        <f>C12</f>
        <v>0.3125</v>
      </c>
    </row>
    <row r="36" spans="12:13" ht="15.75" thickBot="1" x14ac:dyDescent="0.3"/>
    <row r="37" spans="12:13" x14ac:dyDescent="0.25">
      <c r="L37" s="3" t="s">
        <v>2</v>
      </c>
      <c r="M37" s="4">
        <f>E6</f>
        <v>0.2982456140350877</v>
      </c>
    </row>
    <row r="38" spans="12:13" x14ac:dyDescent="0.25">
      <c r="L38" s="5" t="s">
        <v>10</v>
      </c>
      <c r="M38" s="6">
        <f>E8</f>
        <v>0.16228070175438597</v>
      </c>
    </row>
    <row r="39" spans="12:13" x14ac:dyDescent="0.25">
      <c r="L39" s="5" t="s">
        <v>1</v>
      </c>
      <c r="M39" s="6">
        <f>E10</f>
        <v>0.15350877192982457</v>
      </c>
    </row>
    <row r="40" spans="12:13" ht="15.75" thickBot="1" x14ac:dyDescent="0.3">
      <c r="L40" s="7" t="s">
        <v>4</v>
      </c>
      <c r="M40" s="8">
        <f>E12</f>
        <v>0.38596491228070173</v>
      </c>
    </row>
    <row r="46" spans="12:13" ht="15.75" thickBot="1" x14ac:dyDescent="0.3"/>
    <row r="47" spans="12:13" x14ac:dyDescent="0.25">
      <c r="L47" s="3" t="s">
        <v>2</v>
      </c>
      <c r="M47" s="4">
        <f>G6</f>
        <v>0.34246575342465752</v>
      </c>
    </row>
    <row r="48" spans="12:13" x14ac:dyDescent="0.25">
      <c r="L48" s="5" t="s">
        <v>10</v>
      </c>
      <c r="M48" s="6">
        <f>G8</f>
        <v>0.31506849315068491</v>
      </c>
    </row>
    <row r="49" spans="12:13" x14ac:dyDescent="0.25">
      <c r="L49" s="5" t="s">
        <v>1</v>
      </c>
      <c r="M49" s="6">
        <f>G10</f>
        <v>0.26484018264840181</v>
      </c>
    </row>
    <row r="50" spans="12:13" ht="15.75" thickBot="1" x14ac:dyDescent="0.3">
      <c r="L50" s="7" t="s">
        <v>4</v>
      </c>
      <c r="M50" s="8">
        <f>G12</f>
        <v>7.7625570776255703E-2</v>
      </c>
    </row>
  </sheetData>
  <mergeCells count="38">
    <mergeCell ref="I13:I14"/>
    <mergeCell ref="J13:J14"/>
    <mergeCell ref="C1:H2"/>
    <mergeCell ref="B7:B8"/>
    <mergeCell ref="I7:I8"/>
    <mergeCell ref="J7:J8"/>
    <mergeCell ref="B5:B6"/>
    <mergeCell ref="C4:D4"/>
    <mergeCell ref="E4:F4"/>
    <mergeCell ref="G4:H4"/>
    <mergeCell ref="I5:I6"/>
    <mergeCell ref="J5:J6"/>
    <mergeCell ref="I3:I4"/>
    <mergeCell ref="J3:J4"/>
    <mergeCell ref="B3:B4"/>
    <mergeCell ref="C3:H3"/>
    <mergeCell ref="B9:B10"/>
    <mergeCell ref="I9:I10"/>
    <mergeCell ref="J9:J10"/>
    <mergeCell ref="B11:B12"/>
    <mergeCell ref="I11:I12"/>
    <mergeCell ref="J11:J12"/>
    <mergeCell ref="A5:A12"/>
    <mergeCell ref="I15:I16"/>
    <mergeCell ref="H13:H14"/>
    <mergeCell ref="B15:B16"/>
    <mergeCell ref="C15:C16"/>
    <mergeCell ref="D15:D16"/>
    <mergeCell ref="E15:E16"/>
    <mergeCell ref="F15:F16"/>
    <mergeCell ref="G15:G16"/>
    <mergeCell ref="H15:H16"/>
    <mergeCell ref="B13:B14"/>
    <mergeCell ref="C13:C14"/>
    <mergeCell ref="D13:D14"/>
    <mergeCell ref="E13:E14"/>
    <mergeCell ref="F13:F14"/>
    <mergeCell ref="G13:G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TuSoft</cp:lastModifiedBy>
  <dcterms:created xsi:type="dcterms:W3CDTF">2025-11-07T16:09:44Z</dcterms:created>
  <dcterms:modified xsi:type="dcterms:W3CDTF">2025-11-12T09:48:13Z</dcterms:modified>
</cp:coreProperties>
</file>