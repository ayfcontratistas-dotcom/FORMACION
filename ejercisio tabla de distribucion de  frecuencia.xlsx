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F Contratistas\Desktop\ATU INTELIGENCIA ARTIFICIAL\EJEMPLOS PROFE\"/>
    </mc:Choice>
  </mc:AlternateContent>
  <bookViews>
    <workbookView xWindow="0" yWindow="0" windowWidth="20490" windowHeight="6930"/>
  </bookViews>
  <sheets>
    <sheet name="DA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6" i="1" l="1"/>
  <c r="A13" i="1"/>
  <c r="A14" i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N5" i="1"/>
  <c r="N2" i="1" l="1"/>
  <c r="N1" i="1"/>
  <c r="N4" i="1" s="1"/>
  <c r="N6" i="1" s="1"/>
  <c r="H2" i="1" s="1"/>
  <c r="G2" i="1"/>
  <c r="E4" i="1"/>
  <c r="E5" i="1" s="1"/>
  <c r="E6" i="1" s="1"/>
  <c r="E3" i="1"/>
  <c r="A3" i="1"/>
  <c r="A4" i="1" s="1"/>
  <c r="A5" i="1" s="1"/>
  <c r="A6" i="1" s="1"/>
  <c r="A7" i="1" s="1"/>
  <c r="A8" i="1" s="1"/>
  <c r="A9" i="1" s="1"/>
  <c r="A10" i="1" s="1"/>
  <c r="A11" i="1" s="1"/>
  <c r="A12" i="1" s="1"/>
  <c r="C21" i="1" l="1"/>
  <c r="C19" i="1"/>
  <c r="C20" i="1"/>
  <c r="C17" i="1"/>
  <c r="C18" i="1"/>
  <c r="C15" i="1"/>
  <c r="C16" i="1"/>
  <c r="C2" i="1"/>
  <c r="G3" i="1"/>
  <c r="H3" i="1" s="1"/>
  <c r="G4" i="1" s="1"/>
  <c r="H4" i="1" s="1"/>
  <c r="G5" i="1" s="1"/>
  <c r="H5" i="1" s="1"/>
  <c r="G6" i="1" s="1"/>
  <c r="H6" i="1" s="1"/>
  <c r="C3" i="1"/>
  <c r="C26" i="1" l="1"/>
  <c r="C25" i="1"/>
  <c r="C24" i="1"/>
  <c r="C23" i="1"/>
  <c r="C22" i="1"/>
  <c r="C7" i="1"/>
  <c r="C12" i="1"/>
  <c r="C11" i="1"/>
  <c r="C6" i="1"/>
  <c r="C8" i="1"/>
  <c r="C14" i="1"/>
  <c r="C13" i="1"/>
  <c r="C5" i="1"/>
  <c r="C10" i="1"/>
  <c r="C9" i="1"/>
  <c r="C4" i="1"/>
  <c r="I5" i="1" s="1"/>
  <c r="I3" i="1" l="1"/>
  <c r="I4" i="1"/>
  <c r="I2" i="1"/>
  <c r="I6" i="1"/>
  <c r="I7" i="1" l="1"/>
  <c r="G10" i="1" s="1"/>
  <c r="J4" i="1" l="1"/>
  <c r="J3" i="1"/>
  <c r="J5" i="1"/>
  <c r="J6" i="1"/>
  <c r="J2" i="1"/>
  <c r="J7" i="1" l="1"/>
</calcChain>
</file>

<file path=xl/sharedStrings.xml><?xml version="1.0" encoding="utf-8"?>
<sst xmlns="http://schemas.openxmlformats.org/spreadsheetml/2006/main" count="26" uniqueCount="26">
  <si>
    <t>num</t>
  </si>
  <si>
    <t>datos</t>
  </si>
  <si>
    <t>clase</t>
  </si>
  <si>
    <t>niveles</t>
  </si>
  <si>
    <t>muy bajo</t>
  </si>
  <si>
    <t>bajo</t>
  </si>
  <si>
    <t>medio</t>
  </si>
  <si>
    <t>alto</t>
  </si>
  <si>
    <t>muy alto</t>
  </si>
  <si>
    <t>li</t>
  </si>
  <si>
    <t>ls</t>
  </si>
  <si>
    <t>fa</t>
  </si>
  <si>
    <t>fr</t>
  </si>
  <si>
    <t>total</t>
  </si>
  <si>
    <t>max</t>
  </si>
  <si>
    <t>min</t>
  </si>
  <si>
    <t>rango</t>
  </si>
  <si>
    <t>N clase</t>
  </si>
  <si>
    <t>Amplitud</t>
  </si>
  <si>
    <t>se elige</t>
  </si>
  <si>
    <t>categoria</t>
  </si>
  <si>
    <t>conteo de fa</t>
  </si>
  <si>
    <t>rango dividido entre numero de clases</t>
  </si>
  <si>
    <t>max menos min</t>
  </si>
  <si>
    <t>ANALISIS EXPLORATORIO</t>
  </si>
  <si>
    <t>SE ETIQUETA EL 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</si>
</sst>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2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6" borderId="0" xfId="0" applyFill="1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" fontId="1" fillId="2" borderId="2" xfId="0" applyNumberFormat="1" applyFont="1" applyFill="1" applyBorder="1"/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2" borderId="3" xfId="0" applyFont="1" applyFill="1" applyBorder="1"/>
    <xf numFmtId="0" fontId="2" fillId="0" borderId="6" xfId="0" applyFont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9" fontId="2" fillId="5" borderId="7" xfId="1" applyFont="1" applyFill="1" applyBorder="1"/>
    <xf numFmtId="0" fontId="2" fillId="2" borderId="9" xfId="0" applyFont="1" applyFill="1" applyBorder="1"/>
    <xf numFmtId="0" fontId="4" fillId="4" borderId="1" xfId="0" applyFont="1" applyFill="1" applyBorder="1"/>
    <xf numFmtId="0" fontId="2" fillId="5" borderId="1" xfId="0" applyFont="1" applyFill="1" applyBorder="1"/>
    <xf numFmtId="0" fontId="2" fillId="4" borderId="1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DATOS!$J$1</c:f>
              <c:strCache>
                <c:ptCount val="1"/>
                <c:pt idx="0">
                  <c:v>fr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8B1-4B1A-9D9A-06EF55242C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8B1-4B1A-9D9A-06EF55242C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8B1-4B1A-9D9A-06EF55242C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8B1-4B1A-9D9A-06EF55242C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8B1-4B1A-9D9A-06EF55242C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DATOS!$F$2:$F$6</c:f>
              <c:strCache>
                <c:ptCount val="5"/>
                <c:pt idx="0">
                  <c:v>muy bajo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DATOS!$J$2:$J$6</c:f>
              <c:numCache>
                <c:formatCode>0%</c:formatCode>
                <c:ptCount val="5"/>
                <c:pt idx="0">
                  <c:v>0.36</c:v>
                </c:pt>
                <c:pt idx="1">
                  <c:v>0.12</c:v>
                </c:pt>
                <c:pt idx="2">
                  <c:v>0.2</c:v>
                </c:pt>
                <c:pt idx="3">
                  <c:v>0.16</c:v>
                </c:pt>
                <c:pt idx="4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3-4B4D-8899-40BC834AE21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lumMod val="7000"/>
            <a:lumOff val="93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508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38100</xdr:rowOff>
    </xdr:from>
    <xdr:to>
      <xdr:col>17</xdr:col>
      <xdr:colOff>504825</xdr:colOff>
      <xdr:row>22</xdr:row>
      <xdr:rowOff>114300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workbookViewId="0">
      <selection activeCell="J4" sqref="J4"/>
    </sheetView>
  </sheetViews>
  <sheetFormatPr baseColWidth="10" defaultRowHeight="15" x14ac:dyDescent="0.25"/>
  <cols>
    <col min="1" max="1" width="5" bestFit="1" customWidth="1"/>
    <col min="2" max="2" width="5.85546875" bestFit="1" customWidth="1"/>
    <col min="3" max="3" width="9.140625" bestFit="1" customWidth="1"/>
    <col min="4" max="4" width="4.28515625" customWidth="1"/>
    <col min="5" max="5" width="5.42578125" bestFit="1" customWidth="1"/>
    <col min="6" max="6" width="12" bestFit="1" customWidth="1"/>
    <col min="7" max="7" width="7.140625" customWidth="1"/>
    <col min="8" max="9" width="4.7109375" customWidth="1"/>
    <col min="10" max="10" width="4.5703125" bestFit="1" customWidth="1"/>
    <col min="11" max="11" width="3.7109375" customWidth="1"/>
    <col min="12" max="12" width="4" customWidth="1"/>
    <col min="13" max="13" width="9.28515625" bestFit="1" customWidth="1"/>
    <col min="14" max="14" width="4" bestFit="1" customWidth="1"/>
    <col min="15" max="15" width="7.85546875" bestFit="1" customWidth="1"/>
  </cols>
  <sheetData>
    <row r="1" spans="1:18" x14ac:dyDescent="0.25">
      <c r="A1" s="8" t="s">
        <v>0</v>
      </c>
      <c r="B1" s="8" t="s">
        <v>1</v>
      </c>
      <c r="C1" s="4" t="s">
        <v>20</v>
      </c>
      <c r="D1" s="4"/>
      <c r="E1" s="16" t="s">
        <v>2</v>
      </c>
      <c r="F1" s="24" t="s">
        <v>3</v>
      </c>
      <c r="G1" s="24" t="s">
        <v>9</v>
      </c>
      <c r="H1" s="24" t="s">
        <v>10</v>
      </c>
      <c r="I1" s="24" t="s">
        <v>11</v>
      </c>
      <c r="J1" s="25" t="s">
        <v>12</v>
      </c>
      <c r="M1" s="21" t="s">
        <v>14</v>
      </c>
      <c r="N1" s="22">
        <f>MAX(B:B)</f>
        <v>500</v>
      </c>
    </row>
    <row r="2" spans="1:18" x14ac:dyDescent="0.25">
      <c r="A2" s="10">
        <v>1</v>
      </c>
      <c r="B2" s="10">
        <v>5</v>
      </c>
      <c r="C2" s="10">
        <f>IF(B2&lt;=$H$2,1,IF(B2&lt;=$H$3,2,IF(B2&lt;=$H$4,3,IF(B2&lt;=$H$5,4,IF(B2&lt;=$H$6,5)))))</f>
        <v>1</v>
      </c>
      <c r="D2" s="26"/>
      <c r="E2" s="17">
        <v>1</v>
      </c>
      <c r="F2" s="14" t="s">
        <v>4</v>
      </c>
      <c r="G2" s="14">
        <f>B2</f>
        <v>5</v>
      </c>
      <c r="H2" s="14">
        <f>G2+$N$6</f>
        <v>104</v>
      </c>
      <c r="I2" s="18">
        <f>COUNTIF(C:C,E2)</f>
        <v>9</v>
      </c>
      <c r="J2" s="19">
        <f>I2/$I$7</f>
        <v>0.36</v>
      </c>
      <c r="M2" s="23" t="s">
        <v>15</v>
      </c>
      <c r="N2" s="22">
        <f>MIN(B:B)</f>
        <v>5</v>
      </c>
    </row>
    <row r="3" spans="1:18" x14ac:dyDescent="0.25">
      <c r="A3" s="10">
        <f>A2+1</f>
        <v>2</v>
      </c>
      <c r="B3" s="10">
        <v>6</v>
      </c>
      <c r="C3" s="10">
        <f t="shared" ref="C3:C26" si="0">IF(B3&lt;=$H$2,1,IF(B3&lt;=$H$3,2,IF(B3&lt;=$H$4,3,IF(B3&lt;=$H$5,4,IF(B3&lt;=$H$6,5)))))</f>
        <v>1</v>
      </c>
      <c r="D3" s="26"/>
      <c r="E3" s="17">
        <f>E2+1</f>
        <v>2</v>
      </c>
      <c r="F3" s="14" t="s">
        <v>5</v>
      </c>
      <c r="G3" s="14">
        <f>H2</f>
        <v>104</v>
      </c>
      <c r="H3" s="14">
        <f>G3+$N$6</f>
        <v>203</v>
      </c>
      <c r="I3" s="18">
        <f t="shared" ref="I3:I6" si="1">COUNTIF(C:C,E3)</f>
        <v>3</v>
      </c>
      <c r="J3" s="19">
        <f t="shared" ref="J3:J6" si="2">I3/$I$7</f>
        <v>0.12</v>
      </c>
    </row>
    <row r="4" spans="1:18" x14ac:dyDescent="0.25">
      <c r="A4" s="10">
        <f t="shared" ref="A4:A26" si="3">A3+1</f>
        <v>3</v>
      </c>
      <c r="B4" s="10">
        <v>105</v>
      </c>
      <c r="C4" s="10">
        <f t="shared" si="0"/>
        <v>2</v>
      </c>
      <c r="D4" s="26"/>
      <c r="E4" s="17">
        <f t="shared" ref="E4:E5" si="4">E3+1</f>
        <v>3</v>
      </c>
      <c r="F4" s="14" t="s">
        <v>6</v>
      </c>
      <c r="G4" s="14">
        <f t="shared" ref="G4:G6" si="5">H3</f>
        <v>203</v>
      </c>
      <c r="H4" s="14">
        <f t="shared" ref="H4:H6" si="6">G4+$N$6</f>
        <v>302</v>
      </c>
      <c r="I4" s="18">
        <f t="shared" si="1"/>
        <v>5</v>
      </c>
      <c r="J4" s="19">
        <f t="shared" si="2"/>
        <v>0.2</v>
      </c>
      <c r="M4" s="23" t="s">
        <v>16</v>
      </c>
      <c r="N4" s="22">
        <f>N1-N2</f>
        <v>495</v>
      </c>
      <c r="O4" s="9" t="s">
        <v>23</v>
      </c>
      <c r="P4" s="9"/>
    </row>
    <row r="5" spans="1:18" x14ac:dyDescent="0.25">
      <c r="A5" s="10">
        <f t="shared" si="3"/>
        <v>4</v>
      </c>
      <c r="B5" s="10">
        <v>107</v>
      </c>
      <c r="C5" s="10">
        <f t="shared" si="0"/>
        <v>2</v>
      </c>
      <c r="D5" s="26"/>
      <c r="E5" s="17">
        <f t="shared" si="4"/>
        <v>4</v>
      </c>
      <c r="F5" s="14" t="s">
        <v>7</v>
      </c>
      <c r="G5" s="14">
        <f t="shared" si="5"/>
        <v>302</v>
      </c>
      <c r="H5" s="14">
        <f t="shared" si="6"/>
        <v>401</v>
      </c>
      <c r="I5" s="18">
        <f t="shared" si="1"/>
        <v>4</v>
      </c>
      <c r="J5" s="19">
        <f t="shared" si="2"/>
        <v>0.16</v>
      </c>
      <c r="L5" s="1"/>
      <c r="M5" s="23" t="s">
        <v>17</v>
      </c>
      <c r="N5" s="22">
        <f>E6</f>
        <v>5</v>
      </c>
      <c r="O5" s="5" t="s">
        <v>19</v>
      </c>
    </row>
    <row r="6" spans="1:18" ht="15.75" thickBot="1" x14ac:dyDescent="0.3">
      <c r="A6" s="10">
        <f t="shared" si="3"/>
        <v>5</v>
      </c>
      <c r="B6" s="10">
        <v>250</v>
      </c>
      <c r="C6" s="10">
        <f t="shared" si="0"/>
        <v>3</v>
      </c>
      <c r="D6" s="26"/>
      <c r="E6" s="17">
        <f>E5+1</f>
        <v>5</v>
      </c>
      <c r="F6" s="14" t="s">
        <v>8</v>
      </c>
      <c r="G6" s="14">
        <f t="shared" si="5"/>
        <v>401</v>
      </c>
      <c r="H6" s="14">
        <f t="shared" si="6"/>
        <v>500</v>
      </c>
      <c r="I6" s="18">
        <f t="shared" si="1"/>
        <v>4</v>
      </c>
      <c r="J6" s="19">
        <f t="shared" si="2"/>
        <v>0.16</v>
      </c>
      <c r="M6" s="23" t="s">
        <v>18</v>
      </c>
      <c r="N6" s="22">
        <f>N4/N5</f>
        <v>99</v>
      </c>
      <c r="O6" s="9" t="s">
        <v>22</v>
      </c>
      <c r="P6" s="9"/>
      <c r="Q6" s="9"/>
      <c r="R6" s="9"/>
    </row>
    <row r="7" spans="1:18" ht="15.75" thickBot="1" x14ac:dyDescent="0.3">
      <c r="A7" s="10">
        <f t="shared" si="3"/>
        <v>6</v>
      </c>
      <c r="B7" s="10">
        <v>260</v>
      </c>
      <c r="C7" s="10">
        <f t="shared" si="0"/>
        <v>3</v>
      </c>
      <c r="D7" s="26"/>
      <c r="E7" s="27" t="s">
        <v>13</v>
      </c>
      <c r="F7" s="28"/>
      <c r="G7" s="20"/>
      <c r="H7" s="20"/>
      <c r="I7" s="12">
        <f>SUM(I2:I6)</f>
        <v>25</v>
      </c>
      <c r="J7" s="13">
        <f>SUM(J2:J6)</f>
        <v>1</v>
      </c>
    </row>
    <row r="8" spans="1:18" ht="15.75" thickBot="1" x14ac:dyDescent="0.3">
      <c r="A8" s="10">
        <f t="shared" si="3"/>
        <v>7</v>
      </c>
      <c r="B8" s="10">
        <v>320</v>
      </c>
      <c r="C8" s="10">
        <f t="shared" si="0"/>
        <v>4</v>
      </c>
      <c r="D8" s="26"/>
      <c r="E8" s="29" t="s">
        <v>24</v>
      </c>
      <c r="F8" s="30"/>
      <c r="G8" s="30"/>
      <c r="H8" s="30"/>
      <c r="I8" s="30"/>
      <c r="J8" s="31"/>
    </row>
    <row r="9" spans="1:18" x14ac:dyDescent="0.25">
      <c r="A9" s="10">
        <f t="shared" si="3"/>
        <v>8</v>
      </c>
      <c r="B9" s="10">
        <v>390</v>
      </c>
      <c r="C9" s="10">
        <f t="shared" si="0"/>
        <v>4</v>
      </c>
      <c r="D9" s="26"/>
      <c r="E9" s="2"/>
      <c r="F9" s="2"/>
      <c r="G9" s="6"/>
      <c r="H9" s="2"/>
      <c r="I9" s="2"/>
      <c r="J9" s="2"/>
    </row>
    <row r="10" spans="1:18" x14ac:dyDescent="0.25">
      <c r="A10" s="10">
        <f t="shared" si="3"/>
        <v>9</v>
      </c>
      <c r="B10" s="10">
        <v>450</v>
      </c>
      <c r="C10" s="10">
        <f t="shared" si="0"/>
        <v>5</v>
      </c>
      <c r="D10" s="26"/>
      <c r="E10" s="2"/>
      <c r="F10" s="3" t="s">
        <v>21</v>
      </c>
      <c r="G10" s="7" t="str">
        <f>IF(I7=COUNT(C:C),"ok","error")</f>
        <v>ok</v>
      </c>
      <c r="H10" s="2"/>
      <c r="I10" s="2"/>
      <c r="J10" s="2"/>
    </row>
    <row r="11" spans="1:18" x14ac:dyDescent="0.25">
      <c r="A11" s="10">
        <f t="shared" si="3"/>
        <v>10</v>
      </c>
      <c r="B11" s="10">
        <v>499</v>
      </c>
      <c r="C11" s="10">
        <f t="shared" si="0"/>
        <v>5</v>
      </c>
      <c r="D11" s="26"/>
      <c r="E11" s="2"/>
      <c r="F11" s="2"/>
      <c r="G11" s="2"/>
      <c r="H11" s="2"/>
      <c r="I11" s="2"/>
      <c r="J11" s="2"/>
    </row>
    <row r="12" spans="1:18" x14ac:dyDescent="0.25">
      <c r="A12" s="10">
        <f t="shared" si="3"/>
        <v>11</v>
      </c>
      <c r="B12" s="10">
        <v>500</v>
      </c>
      <c r="C12" s="10">
        <f t="shared" si="0"/>
        <v>5</v>
      </c>
      <c r="D12" s="26"/>
      <c r="E12" s="2"/>
      <c r="F12" s="2"/>
      <c r="G12" s="2"/>
      <c r="H12" s="2"/>
      <c r="I12" s="2"/>
      <c r="J12" s="2"/>
    </row>
    <row r="13" spans="1:18" x14ac:dyDescent="0.25">
      <c r="A13" s="10">
        <f t="shared" si="3"/>
        <v>12</v>
      </c>
      <c r="B13" s="11">
        <v>300</v>
      </c>
      <c r="C13" s="11">
        <f t="shared" si="0"/>
        <v>3</v>
      </c>
      <c r="D13" s="32" t="s">
        <v>25</v>
      </c>
      <c r="E13" s="33"/>
      <c r="F13" s="33"/>
      <c r="G13" s="2"/>
      <c r="H13" s="2"/>
      <c r="I13" s="2"/>
      <c r="J13" s="2"/>
    </row>
    <row r="14" spans="1:18" x14ac:dyDescent="0.25">
      <c r="A14" s="10">
        <f t="shared" si="3"/>
        <v>13</v>
      </c>
      <c r="B14" s="11">
        <v>250</v>
      </c>
      <c r="C14" s="11">
        <f t="shared" si="0"/>
        <v>3</v>
      </c>
      <c r="D14" s="15"/>
    </row>
    <row r="15" spans="1:18" x14ac:dyDescent="0.25">
      <c r="A15" s="10">
        <f t="shared" si="3"/>
        <v>14</v>
      </c>
      <c r="B15" s="11">
        <v>11</v>
      </c>
      <c r="C15" s="11">
        <f t="shared" si="0"/>
        <v>1</v>
      </c>
      <c r="D15" s="15"/>
    </row>
    <row r="16" spans="1:18" x14ac:dyDescent="0.25">
      <c r="A16" s="10">
        <f t="shared" si="3"/>
        <v>15</v>
      </c>
      <c r="B16" s="11">
        <v>14</v>
      </c>
      <c r="C16" s="11">
        <f t="shared" si="0"/>
        <v>1</v>
      </c>
      <c r="D16" s="15"/>
    </row>
    <row r="17" spans="1:4" x14ac:dyDescent="0.25">
      <c r="A17" s="10">
        <f t="shared" si="3"/>
        <v>16</v>
      </c>
      <c r="B17" s="11">
        <v>8</v>
      </c>
      <c r="C17" s="11">
        <f t="shared" si="0"/>
        <v>1</v>
      </c>
      <c r="D17" s="15"/>
    </row>
    <row r="18" spans="1:4" x14ac:dyDescent="0.25">
      <c r="A18" s="10">
        <f t="shared" si="3"/>
        <v>17</v>
      </c>
      <c r="B18" s="11">
        <v>22</v>
      </c>
      <c r="C18" s="11">
        <f t="shared" si="0"/>
        <v>1</v>
      </c>
      <c r="D18" s="15"/>
    </row>
    <row r="19" spans="1:4" x14ac:dyDescent="0.25">
      <c r="A19" s="10">
        <f t="shared" si="3"/>
        <v>18</v>
      </c>
      <c r="B19" s="11">
        <v>21</v>
      </c>
      <c r="C19" s="11">
        <f t="shared" si="0"/>
        <v>1</v>
      </c>
      <c r="D19" s="15"/>
    </row>
    <row r="20" spans="1:4" x14ac:dyDescent="0.25">
      <c r="A20" s="10">
        <f t="shared" si="3"/>
        <v>19</v>
      </c>
      <c r="B20" s="11">
        <v>28</v>
      </c>
      <c r="C20" s="11">
        <f t="shared" si="0"/>
        <v>1</v>
      </c>
      <c r="D20" s="15"/>
    </row>
    <row r="21" spans="1:4" x14ac:dyDescent="0.25">
      <c r="A21" s="10">
        <f t="shared" si="3"/>
        <v>20</v>
      </c>
      <c r="B21" s="11">
        <v>12</v>
      </c>
      <c r="C21" s="11">
        <f t="shared" si="0"/>
        <v>1</v>
      </c>
      <c r="D21" s="15"/>
    </row>
    <row r="22" spans="1:4" x14ac:dyDescent="0.25">
      <c r="A22" s="10">
        <f t="shared" si="3"/>
        <v>21</v>
      </c>
      <c r="B22" s="11">
        <v>111</v>
      </c>
      <c r="C22" s="11">
        <f t="shared" si="0"/>
        <v>2</v>
      </c>
      <c r="D22" s="15"/>
    </row>
    <row r="23" spans="1:4" x14ac:dyDescent="0.25">
      <c r="A23" s="10">
        <f t="shared" si="3"/>
        <v>22</v>
      </c>
      <c r="B23" s="11">
        <v>208</v>
      </c>
      <c r="C23" s="11">
        <f t="shared" si="0"/>
        <v>3</v>
      </c>
      <c r="D23" s="15"/>
    </row>
    <row r="24" spans="1:4" x14ac:dyDescent="0.25">
      <c r="A24" s="10">
        <f t="shared" si="3"/>
        <v>23</v>
      </c>
      <c r="B24" s="11">
        <v>322</v>
      </c>
      <c r="C24" s="11">
        <f t="shared" si="0"/>
        <v>4</v>
      </c>
      <c r="D24" s="15"/>
    </row>
    <row r="25" spans="1:4" x14ac:dyDescent="0.25">
      <c r="A25" s="10">
        <f t="shared" si="3"/>
        <v>24</v>
      </c>
      <c r="B25" s="11">
        <v>458</v>
      </c>
      <c r="C25" s="11">
        <f t="shared" si="0"/>
        <v>5</v>
      </c>
      <c r="D25" s="15"/>
    </row>
    <row r="26" spans="1:4" x14ac:dyDescent="0.25">
      <c r="A26" s="10">
        <f t="shared" si="3"/>
        <v>25</v>
      </c>
      <c r="B26" s="11">
        <v>396</v>
      </c>
      <c r="C26" s="11">
        <f t="shared" si="0"/>
        <v>4</v>
      </c>
      <c r="D26" s="15"/>
    </row>
  </sheetData>
  <mergeCells count="3">
    <mergeCell ref="E7:F7"/>
    <mergeCell ref="E8:J8"/>
    <mergeCell ref="D13:F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>TuSoft.org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TuSoft</dc:creator>
  <cp:lastModifiedBy>TuSoft</cp:lastModifiedBy>
  <dcterms:created xsi:type="dcterms:W3CDTF">2025-10-29T16:42:56Z</dcterms:created>
  <dcterms:modified xsi:type="dcterms:W3CDTF">2025-10-31T19:35:36Z</dcterms:modified>
</cp:coreProperties>
</file>